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cogos-my.sharepoint.com/personal/storage_ecogos_onmicrosoft_com/Documents/BD/Mercados/Inflacion breakeven/"/>
    </mc:Choice>
  </mc:AlternateContent>
  <xr:revisionPtr revIDLastSave="1831" documentId="11_F25DC773A252ABDACC10486DC11A63F25BDE58F3" xr6:coauthVersionLast="47" xr6:coauthVersionMax="47" xr10:uidLastSave="{2C4CA00F-6DBA-4009-BF77-7E25FD450D94}"/>
  <bookViews>
    <workbookView xWindow="-110" yWindow="-110" windowWidth="19420" windowHeight="10300" firstSheet="2" activeTab="3" xr2:uid="{00000000-000D-0000-FFFF-FFFF00000000}"/>
  </bookViews>
  <sheets>
    <sheet name="Sheet1 (2)" sheetId="4" r:id="rId1"/>
    <sheet name="Sheet1" sheetId="19" r:id="rId2"/>
    <sheet name="&lt;&lt;NO TOCAR" sheetId="21" r:id="rId3"/>
    <sheet name="Inflación BE" sheetId="3" r:id="rId4"/>
    <sheet name="Serie infla anual" sheetId="22" r:id="rId5"/>
    <sheet name="BE Hoy" sheetId="12" r:id="rId6"/>
    <sheet name="Gráfico BE" sheetId="20" r:id="rId7"/>
    <sheet name="Implícitas anualizadas" sheetId="17" r:id="rId8"/>
    <sheet name="Gráfico nowcast inflación " sheetId="23" r:id="rId9"/>
    <sheet name="Gráfico1" sheetId="13" r:id="rId10"/>
    <sheet name="Gráfico implícitas" sheetId="18" r:id="rId11"/>
    <sheet name="Gráfico2" sheetId="16" r:id="rId12"/>
    <sheet name="Feriados" sheetId="5" r:id="rId13"/>
  </sheets>
  <externalReferences>
    <externalReference r:id="rId14"/>
    <externalReference r:id="rId15"/>
    <externalReference r:id="rId16"/>
  </externalReferences>
  <definedNames>
    <definedName name="DatosExternos_1" localSheetId="1" hidden="1">Sheet1!$A$1:$AE$524</definedName>
    <definedName name="DatosExternos_1" localSheetId="0" hidden="1">'Sheet1 (2)'!$A$1:$C$837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AA83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I83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I84" i="3"/>
  <c r="AE84" i="3"/>
  <c r="AA84" i="3"/>
  <c r="W84" i="3"/>
  <c r="S84" i="3"/>
  <c r="O84" i="3"/>
  <c r="K84" i="3"/>
  <c r="G84" i="3"/>
  <c r="AJ84" i="3"/>
  <c r="AF84" i="3"/>
  <c r="AB84" i="3"/>
  <c r="X84" i="3"/>
  <c r="D83" i="3"/>
  <c r="E83" i="3"/>
  <c r="F83" i="3"/>
  <c r="G83" i="3" s="1"/>
  <c r="H83" i="3"/>
  <c r="I83" i="3"/>
  <c r="J83" i="3"/>
  <c r="L83" i="3"/>
  <c r="M83" i="3"/>
  <c r="N83" i="3"/>
  <c r="P83" i="3"/>
  <c r="Q83" i="3"/>
  <c r="R83" i="3"/>
  <c r="T83" i="3"/>
  <c r="U83" i="3"/>
  <c r="V83" i="3"/>
  <c r="Y83" i="3"/>
  <c r="Z83" i="3"/>
  <c r="AC83" i="3"/>
  <c r="AD83" i="3"/>
  <c r="AG83" i="3"/>
  <c r="AH83" i="3"/>
  <c r="AK83" i="3"/>
  <c r="AL83" i="3"/>
  <c r="B82" i="3"/>
  <c r="C82" i="3" s="1"/>
  <c r="C81" i="3"/>
  <c r="G52" i="12"/>
  <c r="F52" i="12" s="1"/>
  <c r="E52" i="12" s="1"/>
  <c r="F59" i="12"/>
  <c r="H53" i="12"/>
  <c r="F54" i="12"/>
  <c r="H54" i="12"/>
  <c r="F55" i="12"/>
  <c r="H55" i="12"/>
  <c r="F56" i="12"/>
  <c r="H56" i="12"/>
  <c r="F57" i="12"/>
  <c r="H57" i="12"/>
  <c r="F58" i="12"/>
  <c r="H58" i="12"/>
  <c r="H52" i="12"/>
  <c r="J19" i="12"/>
  <c r="J20" i="12"/>
  <c r="J21" i="12"/>
  <c r="J22" i="12"/>
  <c r="J23" i="12"/>
  <c r="J24" i="12"/>
  <c r="J25" i="12"/>
  <c r="J26" i="12"/>
  <c r="J18" i="12"/>
  <c r="R84" i="3" l="1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4" i="3"/>
  <c r="AK84" i="3"/>
  <c r="AJ82" i="3"/>
  <c r="AH84" i="3"/>
  <c r="AG8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B82" i="3"/>
  <c r="AB81" i="3" s="1"/>
  <c r="AD82" i="3"/>
  <c r="AD84" i="3"/>
  <c r="AC84" i="3"/>
  <c r="B83" i="3"/>
  <c r="C83" i="3" s="1"/>
  <c r="Z84" i="3"/>
  <c r="Y84" i="3"/>
  <c r="B16" i="12"/>
  <c r="C16" i="12"/>
  <c r="D16" i="12" s="1"/>
  <c r="A11" i="3"/>
  <c r="N11" i="3" s="1"/>
  <c r="C11" i="3"/>
  <c r="I11" i="3"/>
  <c r="J11" i="3"/>
  <c r="M11" i="3"/>
  <c r="U3" i="3"/>
  <c r="Q21" i="3"/>
  <c r="A3" i="3"/>
  <c r="A4" i="3"/>
  <c r="A5" i="3"/>
  <c r="A6" i="3"/>
  <c r="A7" i="3"/>
  <c r="A8" i="3"/>
  <c r="A9" i="3"/>
  <c r="A10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N81" i="3" s="1"/>
  <c r="A82" i="3"/>
  <c r="F82" i="3" s="1"/>
  <c r="A83" i="3"/>
  <c r="A84" i="3"/>
  <c r="F84" i="3" s="1"/>
  <c r="B84" i="3"/>
  <c r="C84" i="3" s="1"/>
  <c r="P2" i="12" l="1"/>
  <c r="N2" i="12"/>
  <c r="M2" i="12"/>
  <c r="AC82" i="3"/>
  <c r="J2" i="12"/>
  <c r="B17" i="12" s="1"/>
  <c r="I17" i="12" s="1"/>
  <c r="E16" i="12"/>
  <c r="E53" i="12"/>
  <c r="AJ81" i="3"/>
  <c r="AK82" i="3"/>
  <c r="AC81" i="3"/>
  <c r="AB80" i="3"/>
  <c r="V11" i="3"/>
  <c r="R81" i="3"/>
  <c r="J81" i="3"/>
  <c r="J82" i="3"/>
  <c r="R82" i="3"/>
  <c r="J84" i="3"/>
  <c r="V81" i="3"/>
  <c r="F81" i="3"/>
  <c r="V82" i="3"/>
  <c r="N82" i="3"/>
  <c r="V84" i="3"/>
  <c r="N84" i="3"/>
  <c r="J3" i="3"/>
  <c r="V4" i="3"/>
  <c r="J5" i="3"/>
  <c r="N6" i="3"/>
  <c r="N7" i="3"/>
  <c r="V8" i="3"/>
  <c r="N9" i="3"/>
  <c r="N10" i="3"/>
  <c r="J12" i="3"/>
  <c r="J13" i="3"/>
  <c r="N14" i="3"/>
  <c r="N15" i="3"/>
  <c r="J16" i="3"/>
  <c r="N17" i="3"/>
  <c r="V18" i="3"/>
  <c r="N19" i="3"/>
  <c r="V20" i="3"/>
  <c r="R21" i="3"/>
  <c r="J22" i="3"/>
  <c r="N23" i="3"/>
  <c r="R24" i="3"/>
  <c r="R25" i="3"/>
  <c r="V26" i="3"/>
  <c r="R27" i="3"/>
  <c r="R28" i="3"/>
  <c r="R29" i="3"/>
  <c r="V30" i="3"/>
  <c r="V31" i="3"/>
  <c r="F32" i="3"/>
  <c r="F33" i="3"/>
  <c r="V34" i="3"/>
  <c r="F35" i="3"/>
  <c r="R36" i="3"/>
  <c r="R37" i="3"/>
  <c r="F38" i="3"/>
  <c r="J39" i="3"/>
  <c r="F40" i="3"/>
  <c r="N41" i="3"/>
  <c r="V42" i="3"/>
  <c r="V43" i="3"/>
  <c r="F44" i="3"/>
  <c r="R45" i="3"/>
  <c r="V46" i="3"/>
  <c r="R47" i="3"/>
  <c r="F48" i="3"/>
  <c r="F49" i="3"/>
  <c r="V50" i="3"/>
  <c r="N51" i="3"/>
  <c r="V52" i="3"/>
  <c r="R53" i="3"/>
  <c r="F54" i="3"/>
  <c r="V55" i="3"/>
  <c r="F56" i="3"/>
  <c r="F57" i="3"/>
  <c r="V58" i="3"/>
  <c r="J59" i="3"/>
  <c r="J60" i="3"/>
  <c r="R61" i="3"/>
  <c r="F68" i="3"/>
  <c r="R69" i="3"/>
  <c r="J70" i="3"/>
  <c r="R71" i="3"/>
  <c r="F72" i="3"/>
  <c r="N73" i="3"/>
  <c r="V74" i="3"/>
  <c r="V75" i="3"/>
  <c r="F76" i="3"/>
  <c r="R77" i="3"/>
  <c r="V78" i="3"/>
  <c r="R79" i="3"/>
  <c r="F80" i="3"/>
  <c r="C68" i="3"/>
  <c r="C69" i="3"/>
  <c r="C70" i="3"/>
  <c r="C71" i="3"/>
  <c r="C72" i="3"/>
  <c r="C53" i="3"/>
  <c r="C54" i="3"/>
  <c r="C57" i="3"/>
  <c r="C59" i="3"/>
  <c r="C61" i="3"/>
  <c r="C62" i="3"/>
  <c r="C65" i="3"/>
  <c r="C66" i="3"/>
  <c r="C67" i="3"/>
  <c r="C10" i="3"/>
  <c r="C18" i="3"/>
  <c r="C26" i="3"/>
  <c r="C28" i="3"/>
  <c r="C34" i="3"/>
  <c r="C36" i="3"/>
  <c r="C42" i="3"/>
  <c r="C44" i="3"/>
  <c r="C50" i="3"/>
  <c r="C52" i="3"/>
  <c r="C58" i="3"/>
  <c r="C60" i="3"/>
  <c r="C73" i="3"/>
  <c r="C74" i="3"/>
  <c r="C75" i="3"/>
  <c r="C76" i="3"/>
  <c r="C77" i="3"/>
  <c r="C78" i="3"/>
  <c r="C79" i="3"/>
  <c r="C80" i="3"/>
  <c r="C3" i="3"/>
  <c r="C4" i="3"/>
  <c r="C5" i="3"/>
  <c r="C6" i="3"/>
  <c r="C7" i="3"/>
  <c r="C8" i="3"/>
  <c r="C9" i="3"/>
  <c r="C12" i="3"/>
  <c r="C13" i="3"/>
  <c r="C14" i="3"/>
  <c r="C15" i="3"/>
  <c r="C16" i="3"/>
  <c r="C17" i="3"/>
  <c r="C19" i="3"/>
  <c r="C20" i="3"/>
  <c r="C21" i="3"/>
  <c r="C22" i="3"/>
  <c r="C23" i="3"/>
  <c r="C24" i="3"/>
  <c r="C25" i="3"/>
  <c r="C27" i="3"/>
  <c r="C29" i="3"/>
  <c r="C30" i="3"/>
  <c r="C31" i="3"/>
  <c r="C32" i="3"/>
  <c r="C33" i="3"/>
  <c r="C35" i="3"/>
  <c r="C37" i="3"/>
  <c r="C38" i="3"/>
  <c r="C39" i="3"/>
  <c r="C40" i="3"/>
  <c r="C41" i="3"/>
  <c r="C43" i="3"/>
  <c r="C45" i="3"/>
  <c r="C46" i="3"/>
  <c r="C47" i="3"/>
  <c r="C48" i="3"/>
  <c r="C49" i="3"/>
  <c r="C51" i="3"/>
  <c r="C55" i="3"/>
  <c r="C56" i="3"/>
  <c r="C63" i="3"/>
  <c r="C64" i="3"/>
  <c r="F23" i="12"/>
  <c r="G60" i="12" s="1"/>
  <c r="F24" i="12"/>
  <c r="G61" i="12" s="1"/>
  <c r="F25" i="12"/>
  <c r="G62" i="12" s="1"/>
  <c r="F26" i="12"/>
  <c r="G63" i="12" s="1"/>
  <c r="F27" i="12"/>
  <c r="G64" i="12" s="1"/>
  <c r="C15" i="12"/>
  <c r="B15" i="12"/>
  <c r="B31" i="12" s="1"/>
  <c r="D67" i="3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4" i="3" s="1"/>
  <c r="T4" i="3"/>
  <c r="T5" i="3" s="1"/>
  <c r="T6" i="3" s="1"/>
  <c r="T7" i="3" s="1"/>
  <c r="T8" i="3" s="1"/>
  <c r="T9" i="3" s="1"/>
  <c r="T10" i="3" s="1"/>
  <c r="U4" i="3"/>
  <c r="U5" i="3" s="1"/>
  <c r="U6" i="3" s="1"/>
  <c r="U7" i="3" s="1"/>
  <c r="U8" i="3" s="1"/>
  <c r="U9" i="3" s="1"/>
  <c r="U10" i="3" s="1"/>
  <c r="E33" i="3"/>
  <c r="E34" i="3" s="1"/>
  <c r="E35" i="3"/>
  <c r="E36" i="3" s="1"/>
  <c r="E37" i="3"/>
  <c r="E38" i="3" s="1"/>
  <c r="E39" i="3"/>
  <c r="E40" i="3" s="1"/>
  <c r="E41" i="3"/>
  <c r="E42" i="3" s="1"/>
  <c r="E43" i="3"/>
  <c r="E44" i="3" s="1"/>
  <c r="E45" i="3"/>
  <c r="E46" i="3" s="1"/>
  <c r="E47" i="3"/>
  <c r="E48" i="3" s="1"/>
  <c r="E49" i="3"/>
  <c r="E50" i="3" s="1"/>
  <c r="E51" i="3"/>
  <c r="E52" i="3" s="1"/>
  <c r="E53" i="3"/>
  <c r="E54" i="3" s="1"/>
  <c r="E55" i="3"/>
  <c r="E56" i="3" s="1"/>
  <c r="E57" i="3"/>
  <c r="E58" i="3" s="1"/>
  <c r="E59" i="3"/>
  <c r="E60" i="3" s="1"/>
  <c r="E61" i="3"/>
  <c r="E62" i="3" s="1"/>
  <c r="E63" i="3"/>
  <c r="E64" i="3" s="1"/>
  <c r="E65" i="3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4" i="3" s="1"/>
  <c r="D32" i="3"/>
  <c r="E31" i="3"/>
  <c r="E32" i="3" s="1"/>
  <c r="F17" i="12"/>
  <c r="G54" i="12" s="1"/>
  <c r="F18" i="12"/>
  <c r="G55" i="12" s="1"/>
  <c r="F19" i="12"/>
  <c r="G56" i="12" s="1"/>
  <c r="F20" i="12"/>
  <c r="G57" i="12" s="1"/>
  <c r="F21" i="12"/>
  <c r="G58" i="12" s="1"/>
  <c r="F22" i="12"/>
  <c r="G59" i="12" s="1"/>
  <c r="B20" i="12" l="1"/>
  <c r="B21" i="12" s="1"/>
  <c r="I21" i="12" s="1"/>
  <c r="F16" i="12"/>
  <c r="G53" i="12" s="1"/>
  <c r="F53" i="12"/>
  <c r="AJ80" i="3"/>
  <c r="AK81" i="3"/>
  <c r="AB79" i="3"/>
  <c r="AC80" i="3"/>
  <c r="U11" i="3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T60" i="3" s="1"/>
  <c r="T61" i="3" s="1"/>
  <c r="T62" i="3" s="1"/>
  <c r="T63" i="3" s="1"/>
  <c r="T64" i="3" s="1"/>
  <c r="T65" i="3" s="1"/>
  <c r="T66" i="3" s="1"/>
  <c r="T67" i="3" s="1"/>
  <c r="T68" i="3" s="1"/>
  <c r="T69" i="3" s="1"/>
  <c r="T70" i="3" s="1"/>
  <c r="T71" i="3" s="1"/>
  <c r="T72" i="3" s="1"/>
  <c r="T73" i="3" s="1"/>
  <c r="T74" i="3" s="1"/>
  <c r="T75" i="3" s="1"/>
  <c r="T76" i="3" s="1"/>
  <c r="T77" i="3" s="1"/>
  <c r="T78" i="3" s="1"/>
  <c r="T79" i="3" s="1"/>
  <c r="T80" i="3" s="1"/>
  <c r="T81" i="3" s="1"/>
  <c r="T82" i="3" s="1"/>
  <c r="T84" i="3" s="1"/>
  <c r="G81" i="3"/>
  <c r="G82" i="3"/>
  <c r="J67" i="3"/>
  <c r="A38" i="22"/>
  <c r="V66" i="3"/>
  <c r="A37" i="22"/>
  <c r="N65" i="3"/>
  <c r="A36" i="22"/>
  <c r="F64" i="3"/>
  <c r="A35" i="22"/>
  <c r="V63" i="3"/>
  <c r="A34" i="22"/>
  <c r="V62" i="3"/>
  <c r="A33" i="22"/>
  <c r="J28" i="3"/>
  <c r="V64" i="3"/>
  <c r="V16" i="3"/>
  <c r="V6" i="3"/>
  <c r="J23" i="3"/>
  <c r="R64" i="3"/>
  <c r="V60" i="3"/>
  <c r="V15" i="3"/>
  <c r="J72" i="3"/>
  <c r="J19" i="3"/>
  <c r="N80" i="3"/>
  <c r="R63" i="3"/>
  <c r="V48" i="3"/>
  <c r="J64" i="3"/>
  <c r="J18" i="3"/>
  <c r="N48" i="3"/>
  <c r="R52" i="3"/>
  <c r="V47" i="3"/>
  <c r="F52" i="3"/>
  <c r="J55" i="3"/>
  <c r="J14" i="3"/>
  <c r="N27" i="3"/>
  <c r="R48" i="3"/>
  <c r="V38" i="3"/>
  <c r="F46" i="3"/>
  <c r="J46" i="3"/>
  <c r="J8" i="3"/>
  <c r="N26" i="3"/>
  <c r="R42" i="3"/>
  <c r="V32" i="3"/>
  <c r="F42" i="3"/>
  <c r="J42" i="3"/>
  <c r="J7" i="3"/>
  <c r="R32" i="3"/>
  <c r="V28" i="3"/>
  <c r="J32" i="3"/>
  <c r="N16" i="3"/>
  <c r="R26" i="3"/>
  <c r="V22" i="3"/>
  <c r="J74" i="3"/>
  <c r="N49" i="3"/>
  <c r="R80" i="3"/>
  <c r="V27" i="3"/>
  <c r="F58" i="3"/>
  <c r="R74" i="3"/>
  <c r="V59" i="3"/>
  <c r="J63" i="3"/>
  <c r="J27" i="3"/>
  <c r="N43" i="3"/>
  <c r="R31" i="3"/>
  <c r="V54" i="3"/>
  <c r="F51" i="3"/>
  <c r="J54" i="3"/>
  <c r="R58" i="3"/>
  <c r="V80" i="3"/>
  <c r="J51" i="3"/>
  <c r="N75" i="3"/>
  <c r="V79" i="3"/>
  <c r="F78" i="3"/>
  <c r="G78" i="3" s="1"/>
  <c r="J78" i="3"/>
  <c r="N59" i="3"/>
  <c r="R51" i="3"/>
  <c r="V70" i="3"/>
  <c r="F74" i="3"/>
  <c r="G74" i="3" s="1"/>
  <c r="N58" i="3"/>
  <c r="F62" i="3"/>
  <c r="J4" i="3"/>
  <c r="N33" i="3"/>
  <c r="N21" i="3"/>
  <c r="R68" i="3"/>
  <c r="V44" i="3"/>
  <c r="F36" i="3"/>
  <c r="J75" i="3"/>
  <c r="J66" i="3"/>
  <c r="J56" i="3"/>
  <c r="J47" i="3"/>
  <c r="J38" i="3"/>
  <c r="J29" i="3"/>
  <c r="J20" i="3"/>
  <c r="N72" i="3"/>
  <c r="N60" i="3"/>
  <c r="N50" i="3"/>
  <c r="N40" i="3"/>
  <c r="N28" i="3"/>
  <c r="N18" i="3"/>
  <c r="N8" i="3"/>
  <c r="R75" i="3"/>
  <c r="R65" i="3"/>
  <c r="R55" i="3"/>
  <c r="R43" i="3"/>
  <c r="R33" i="3"/>
  <c r="R23" i="3"/>
  <c r="V71" i="3"/>
  <c r="V61" i="3"/>
  <c r="V51" i="3"/>
  <c r="V39" i="3"/>
  <c r="V29" i="3"/>
  <c r="V19" i="3"/>
  <c r="V7" i="3"/>
  <c r="F75" i="3"/>
  <c r="G75" i="3" s="1"/>
  <c r="F65" i="3"/>
  <c r="F53" i="3"/>
  <c r="F43" i="3"/>
  <c r="N69" i="3"/>
  <c r="J36" i="3"/>
  <c r="N4" i="3"/>
  <c r="R41" i="3"/>
  <c r="V37" i="3"/>
  <c r="V5" i="3"/>
  <c r="F73" i="3"/>
  <c r="G73" i="3" s="1"/>
  <c r="F61" i="3"/>
  <c r="F41" i="3"/>
  <c r="J80" i="3"/>
  <c r="J71" i="3"/>
  <c r="J62" i="3"/>
  <c r="J53" i="3"/>
  <c r="J44" i="3"/>
  <c r="J35" i="3"/>
  <c r="J26" i="3"/>
  <c r="J6" i="3"/>
  <c r="N77" i="3"/>
  <c r="N67" i="3"/>
  <c r="N57" i="3"/>
  <c r="N45" i="3"/>
  <c r="N35" i="3"/>
  <c r="N25" i="3"/>
  <c r="N13" i="3"/>
  <c r="N3" i="3"/>
  <c r="R72" i="3"/>
  <c r="R60" i="3"/>
  <c r="R50" i="3"/>
  <c r="R40" i="3"/>
  <c r="V68" i="3"/>
  <c r="V56" i="3"/>
  <c r="V36" i="3"/>
  <c r="V24" i="3"/>
  <c r="V14" i="3"/>
  <c r="F70" i="3"/>
  <c r="G70" i="3" s="1"/>
  <c r="F60" i="3"/>
  <c r="F50" i="3"/>
  <c r="J37" i="3"/>
  <c r="N37" i="3"/>
  <c r="N5" i="3"/>
  <c r="J45" i="3"/>
  <c r="N68" i="3"/>
  <c r="N36" i="3"/>
  <c r="R73" i="3"/>
  <c r="V69" i="3"/>
  <c r="J79" i="3"/>
  <c r="J61" i="3"/>
  <c r="J52" i="3"/>
  <c r="J43" i="3"/>
  <c r="J34" i="3"/>
  <c r="J24" i="3"/>
  <c r="J15" i="3"/>
  <c r="N76" i="3"/>
  <c r="N66" i="3"/>
  <c r="N56" i="3"/>
  <c r="N44" i="3"/>
  <c r="N34" i="3"/>
  <c r="N24" i="3"/>
  <c r="N12" i="3"/>
  <c r="R59" i="3"/>
  <c r="R49" i="3"/>
  <c r="R39" i="3"/>
  <c r="V77" i="3"/>
  <c r="V67" i="3"/>
  <c r="V45" i="3"/>
  <c r="V35" i="3"/>
  <c r="V23" i="3"/>
  <c r="V13" i="3"/>
  <c r="V3" i="3"/>
  <c r="F69" i="3"/>
  <c r="G69" i="3" s="1"/>
  <c r="F59" i="3"/>
  <c r="F37" i="3"/>
  <c r="N53" i="3"/>
  <c r="V76" i="3"/>
  <c r="V12" i="3"/>
  <c r="J77" i="3"/>
  <c r="J68" i="3"/>
  <c r="J50" i="3"/>
  <c r="J40" i="3"/>
  <c r="J31" i="3"/>
  <c r="N74" i="3"/>
  <c r="N64" i="3"/>
  <c r="N52" i="3"/>
  <c r="N42" i="3"/>
  <c r="N32" i="3"/>
  <c r="N20" i="3"/>
  <c r="R67" i="3"/>
  <c r="R57" i="3"/>
  <c r="R35" i="3"/>
  <c r="V53" i="3"/>
  <c r="V21" i="3"/>
  <c r="F77" i="3"/>
  <c r="G77" i="3" s="1"/>
  <c r="F67" i="3"/>
  <c r="F45" i="3"/>
  <c r="J69" i="3"/>
  <c r="J76" i="3"/>
  <c r="J58" i="3"/>
  <c r="J48" i="3"/>
  <c r="J30" i="3"/>
  <c r="J21" i="3"/>
  <c r="N61" i="3"/>
  <c r="N29" i="3"/>
  <c r="R76" i="3"/>
  <c r="R66" i="3"/>
  <c r="R56" i="3"/>
  <c r="R44" i="3"/>
  <c r="R34" i="3"/>
  <c r="V72" i="3"/>
  <c r="V40" i="3"/>
  <c r="F66" i="3"/>
  <c r="F34" i="3"/>
  <c r="F79" i="3"/>
  <c r="G79" i="3" s="1"/>
  <c r="N79" i="3"/>
  <c r="N78" i="3"/>
  <c r="R78" i="3"/>
  <c r="V73" i="3"/>
  <c r="J73" i="3"/>
  <c r="F71" i="3"/>
  <c r="G71" i="3" s="1"/>
  <c r="N71" i="3"/>
  <c r="N70" i="3"/>
  <c r="R70" i="3"/>
  <c r="V65" i="3"/>
  <c r="J65" i="3"/>
  <c r="F63" i="3"/>
  <c r="N63" i="3"/>
  <c r="N62" i="3"/>
  <c r="R62" i="3"/>
  <c r="V57" i="3"/>
  <c r="J57" i="3"/>
  <c r="F55" i="3"/>
  <c r="N55" i="3"/>
  <c r="N54" i="3"/>
  <c r="R54" i="3"/>
  <c r="V49" i="3"/>
  <c r="J49" i="3"/>
  <c r="F47" i="3"/>
  <c r="N47" i="3"/>
  <c r="N46" i="3"/>
  <c r="R46" i="3"/>
  <c r="V41" i="3"/>
  <c r="J41" i="3"/>
  <c r="F39" i="3"/>
  <c r="N39" i="3"/>
  <c r="N38" i="3"/>
  <c r="R38" i="3"/>
  <c r="V33" i="3"/>
  <c r="J33" i="3"/>
  <c r="F31" i="3"/>
  <c r="N31" i="3"/>
  <c r="N30" i="3"/>
  <c r="R30" i="3"/>
  <c r="V25" i="3"/>
  <c r="J25" i="3"/>
  <c r="N22" i="3"/>
  <c r="R22" i="3"/>
  <c r="V17" i="3"/>
  <c r="J17" i="3"/>
  <c r="V10" i="3"/>
  <c r="J10" i="3"/>
  <c r="V9" i="3"/>
  <c r="J9" i="3"/>
  <c r="G67" i="3"/>
  <c r="B48" i="17" s="1"/>
  <c r="G80" i="3"/>
  <c r="A51" i="22"/>
  <c r="A47" i="22"/>
  <c r="A50" i="22"/>
  <c r="A49" i="22"/>
  <c r="A41" i="22"/>
  <c r="A43" i="22"/>
  <c r="A48" i="22"/>
  <c r="A46" i="22"/>
  <c r="G76" i="3"/>
  <c r="A45" i="22"/>
  <c r="A44" i="22"/>
  <c r="G72" i="3"/>
  <c r="A40" i="22"/>
  <c r="A42" i="22"/>
  <c r="A49" i="17"/>
  <c r="A48" i="17"/>
  <c r="A39" i="22"/>
  <c r="G68" i="3"/>
  <c r="P66" i="3"/>
  <c r="P67" i="3" s="1"/>
  <c r="L66" i="3"/>
  <c r="L67" i="3" s="1"/>
  <c r="H66" i="3"/>
  <c r="H67" i="3" s="1"/>
  <c r="I3" i="3"/>
  <c r="I4" i="3"/>
  <c r="I5" i="3"/>
  <c r="I6" i="3"/>
  <c r="I7" i="3"/>
  <c r="I8" i="3"/>
  <c r="I9" i="3"/>
  <c r="I10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Q27" i="3"/>
  <c r="Q24" i="3"/>
  <c r="Q25" i="3"/>
  <c r="Q26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I20" i="12" l="1"/>
  <c r="AK80" i="3"/>
  <c r="AJ79" i="3"/>
  <c r="AC79" i="3"/>
  <c r="AB78" i="3"/>
  <c r="U12" i="3"/>
  <c r="U13" i="3" s="1"/>
  <c r="U14" i="3" s="1"/>
  <c r="U15" i="3" s="1"/>
  <c r="U16" i="3" s="1"/>
  <c r="U17" i="3" s="1"/>
  <c r="U18" i="3" s="1"/>
  <c r="B49" i="17"/>
  <c r="H68" i="3"/>
  <c r="I67" i="3"/>
  <c r="M67" i="3"/>
  <c r="L68" i="3"/>
  <c r="P68" i="3"/>
  <c r="Q67" i="3"/>
  <c r="B14" i="12"/>
  <c r="C14" i="12"/>
  <c r="A13" i="22"/>
  <c r="M42" i="3"/>
  <c r="A14" i="22"/>
  <c r="M43" i="3"/>
  <c r="A15" i="22"/>
  <c r="M44" i="3"/>
  <c r="A16" i="22"/>
  <c r="M45" i="3"/>
  <c r="A17" i="22"/>
  <c r="M46" i="3"/>
  <c r="A18" i="22"/>
  <c r="M47" i="3"/>
  <c r="A19" i="22"/>
  <c r="M48" i="3"/>
  <c r="A20" i="22"/>
  <c r="M49" i="3"/>
  <c r="A21" i="22"/>
  <c r="M50" i="3"/>
  <c r="A22" i="22"/>
  <c r="M51" i="3"/>
  <c r="A23" i="22"/>
  <c r="M52" i="3"/>
  <c r="A24" i="22"/>
  <c r="M53" i="3"/>
  <c r="A25" i="22"/>
  <c r="M54" i="3"/>
  <c r="A26" i="22"/>
  <c r="M55" i="3"/>
  <c r="A27" i="22"/>
  <c r="M56" i="3"/>
  <c r="A28" i="22"/>
  <c r="M57" i="3"/>
  <c r="A29" i="22"/>
  <c r="M58" i="3"/>
  <c r="A30" i="22"/>
  <c r="M59" i="3"/>
  <c r="A31" i="22"/>
  <c r="M60" i="3"/>
  <c r="A32" i="22"/>
  <c r="M61" i="3"/>
  <c r="M62" i="3"/>
  <c r="M63" i="3"/>
  <c r="M64" i="3"/>
  <c r="M65" i="3"/>
  <c r="M66" i="3"/>
  <c r="A2" i="22"/>
  <c r="M31" i="3"/>
  <c r="A3" i="22"/>
  <c r="M32" i="3"/>
  <c r="A4" i="22"/>
  <c r="M33" i="3"/>
  <c r="A5" i="22"/>
  <c r="M34" i="3"/>
  <c r="A6" i="22"/>
  <c r="M35" i="3"/>
  <c r="A7" i="22"/>
  <c r="M36" i="3"/>
  <c r="M37" i="3"/>
  <c r="A9" i="22"/>
  <c r="M38" i="3"/>
  <c r="A10" i="22"/>
  <c r="M39" i="3"/>
  <c r="A11" i="22"/>
  <c r="M40" i="3"/>
  <c r="A12" i="22"/>
  <c r="M41" i="3"/>
  <c r="C13" i="12"/>
  <c r="B13" i="12"/>
  <c r="Q22" i="3"/>
  <c r="Q23" i="3"/>
  <c r="M30" i="3"/>
  <c r="M28" i="3"/>
  <c r="M29" i="3"/>
  <c r="M27" i="3"/>
  <c r="M23" i="3"/>
  <c r="M24" i="3"/>
  <c r="M25" i="3"/>
  <c r="M26" i="3"/>
  <c r="M19" i="3"/>
  <c r="M20" i="3"/>
  <c r="M21" i="3"/>
  <c r="M22" i="3"/>
  <c r="M17" i="3"/>
  <c r="M18" i="3"/>
  <c r="M15" i="3"/>
  <c r="M16" i="3"/>
  <c r="M14" i="3"/>
  <c r="B12" i="12"/>
  <c r="C12" i="12"/>
  <c r="U19" i="3" l="1"/>
  <c r="AJ78" i="3"/>
  <c r="AK79" i="3"/>
  <c r="AB77" i="3"/>
  <c r="AC78" i="3"/>
  <c r="C48" i="17"/>
  <c r="D48" i="17"/>
  <c r="I68" i="3"/>
  <c r="H69" i="3"/>
  <c r="Q68" i="3"/>
  <c r="C49" i="17" s="1"/>
  <c r="P69" i="3"/>
  <c r="M68" i="3"/>
  <c r="L69" i="3"/>
  <c r="A8" i="22"/>
  <c r="E48" i="17"/>
  <c r="G41" i="3"/>
  <c r="C12" i="22" s="1"/>
  <c r="G40" i="3"/>
  <c r="C11" i="22" s="1"/>
  <c r="G39" i="3"/>
  <c r="C10" i="22" s="1"/>
  <c r="C19" i="17"/>
  <c r="G38" i="3"/>
  <c r="B9" i="22" s="1"/>
  <c r="G37" i="3"/>
  <c r="G36" i="3"/>
  <c r="B7" i="22" s="1"/>
  <c r="G35" i="3"/>
  <c r="C6" i="22" s="1"/>
  <c r="G34" i="3"/>
  <c r="C5" i="22" s="1"/>
  <c r="D15" i="17"/>
  <c r="G33" i="3"/>
  <c r="C4" i="22" s="1"/>
  <c r="G32" i="3"/>
  <c r="B3" i="22" s="1"/>
  <c r="G31" i="3"/>
  <c r="C2" i="22" s="1"/>
  <c r="G66" i="3"/>
  <c r="G65" i="3"/>
  <c r="G64" i="3"/>
  <c r="D44" i="17"/>
  <c r="G63" i="3"/>
  <c r="G62" i="3"/>
  <c r="G61" i="3"/>
  <c r="C32" i="22" s="1"/>
  <c r="G60" i="3"/>
  <c r="C31" i="22" s="1"/>
  <c r="G59" i="3"/>
  <c r="C30" i="22" s="1"/>
  <c r="G58" i="3"/>
  <c r="C29" i="22" s="1"/>
  <c r="G57" i="3"/>
  <c r="C28" i="22" s="1"/>
  <c r="G56" i="3"/>
  <c r="C27" i="22" s="1"/>
  <c r="D37" i="17"/>
  <c r="G55" i="3"/>
  <c r="C26" i="22" s="1"/>
  <c r="G54" i="3"/>
  <c r="C25" i="22" s="1"/>
  <c r="A34" i="17"/>
  <c r="G53" i="3"/>
  <c r="C24" i="22" s="1"/>
  <c r="D34" i="17"/>
  <c r="G52" i="3"/>
  <c r="C23" i="22" s="1"/>
  <c r="G51" i="3"/>
  <c r="C22" i="22" s="1"/>
  <c r="G50" i="3"/>
  <c r="C21" i="22" s="1"/>
  <c r="D31" i="17"/>
  <c r="G49" i="3"/>
  <c r="C20" i="22" s="1"/>
  <c r="G48" i="3"/>
  <c r="C19" i="22" s="1"/>
  <c r="A28" i="17"/>
  <c r="G47" i="3"/>
  <c r="B18" i="22" s="1"/>
  <c r="G46" i="3"/>
  <c r="B17" i="22" s="1"/>
  <c r="G45" i="3"/>
  <c r="B16" i="22" s="1"/>
  <c r="G44" i="3"/>
  <c r="B15" i="22" s="1"/>
  <c r="G43" i="3"/>
  <c r="C14" i="22" s="1"/>
  <c r="G42" i="3"/>
  <c r="C13" i="22" s="1"/>
  <c r="A6" i="17"/>
  <c r="A44" i="17"/>
  <c r="A33" i="17"/>
  <c r="A27" i="17"/>
  <c r="A4" i="17"/>
  <c r="A3" i="17"/>
  <c r="A18" i="17"/>
  <c r="A14" i="17"/>
  <c r="A46" i="17"/>
  <c r="A42" i="17"/>
  <c r="A39" i="17"/>
  <c r="A24" i="17"/>
  <c r="A20" i="17"/>
  <c r="A32" i="17"/>
  <c r="A7" i="17"/>
  <c r="A8" i="17"/>
  <c r="A11" i="17"/>
  <c r="A2" i="17"/>
  <c r="A22" i="17"/>
  <c r="A17" i="17"/>
  <c r="A13" i="17"/>
  <c r="A38" i="17"/>
  <c r="A36" i="17"/>
  <c r="A43" i="17"/>
  <c r="A31" i="17"/>
  <c r="A29" i="17"/>
  <c r="A26" i="17"/>
  <c r="A10" i="17"/>
  <c r="A21" i="17"/>
  <c r="A16" i="17"/>
  <c r="A12" i="17"/>
  <c r="A45" i="17"/>
  <c r="A41" i="17"/>
  <c r="A23" i="17"/>
  <c r="A5" i="17"/>
  <c r="A19" i="17"/>
  <c r="A9" i="17"/>
  <c r="A15" i="17"/>
  <c r="A47" i="17"/>
  <c r="A40" i="17"/>
  <c r="A37" i="17"/>
  <c r="A35" i="17"/>
  <c r="A30" i="17"/>
  <c r="A25" i="17"/>
  <c r="E8" i="17"/>
  <c r="C11" i="12"/>
  <c r="C10" i="12"/>
  <c r="C9" i="12"/>
  <c r="C8" i="12"/>
  <c r="C7" i="12"/>
  <c r="C6" i="12"/>
  <c r="C5" i="12"/>
  <c r="C4" i="12"/>
  <c r="C3" i="12"/>
  <c r="C2" i="12"/>
  <c r="B9" i="12"/>
  <c r="B10" i="12"/>
  <c r="B11" i="12"/>
  <c r="B3" i="12"/>
  <c r="B4" i="12"/>
  <c r="B5" i="12"/>
  <c r="B6" i="12"/>
  <c r="B7" i="12"/>
  <c r="B8" i="12"/>
  <c r="B2" i="12"/>
  <c r="E49" i="17" l="1"/>
  <c r="U20" i="3"/>
  <c r="U21" i="3" s="1"/>
  <c r="AJ77" i="3"/>
  <c r="AK78" i="3"/>
  <c r="AC77" i="3"/>
  <c r="AB76" i="3"/>
  <c r="B11" i="22"/>
  <c r="B10" i="22"/>
  <c r="B5" i="22"/>
  <c r="B12" i="22"/>
  <c r="B13" i="22"/>
  <c r="C3" i="22"/>
  <c r="B14" i="22"/>
  <c r="B2" i="22"/>
  <c r="C15" i="22"/>
  <c r="C9" i="22"/>
  <c r="C17" i="22"/>
  <c r="C7" i="22"/>
  <c r="C18" i="22"/>
  <c r="B6" i="22"/>
  <c r="B4" i="22"/>
  <c r="C16" i="22"/>
  <c r="B8" i="22"/>
  <c r="C8" i="22"/>
  <c r="D49" i="17"/>
  <c r="D18" i="17"/>
  <c r="E36" i="17"/>
  <c r="D42" i="17"/>
  <c r="D20" i="17"/>
  <c r="C42" i="17"/>
  <c r="B18" i="17"/>
  <c r="B43" i="17"/>
  <c r="C37" i="17"/>
  <c r="L70" i="3"/>
  <c r="M69" i="3"/>
  <c r="Q69" i="3"/>
  <c r="P70" i="3"/>
  <c r="I69" i="3"/>
  <c r="H70" i="3"/>
  <c r="D43" i="17"/>
  <c r="E37" i="17"/>
  <c r="D19" i="17"/>
  <c r="D35" i="17"/>
  <c r="E35" i="17"/>
  <c r="C18" i="17"/>
  <c r="E18" i="17"/>
  <c r="B29" i="17"/>
  <c r="C35" i="17"/>
  <c r="D29" i="17"/>
  <c r="B37" i="17"/>
  <c r="D4" i="17"/>
  <c r="D17" i="17"/>
  <c r="C11" i="17"/>
  <c r="E42" i="17"/>
  <c r="B35" i="17"/>
  <c r="B20" i="17"/>
  <c r="E11" i="17"/>
  <c r="D36" i="17"/>
  <c r="E17" i="17"/>
  <c r="E41" i="17"/>
  <c r="E38" i="17"/>
  <c r="C36" i="17"/>
  <c r="D11" i="17"/>
  <c r="E12" i="17"/>
  <c r="D23" i="17"/>
  <c r="D2" i="17"/>
  <c r="D5" i="17"/>
  <c r="D3" i="17"/>
  <c r="D38" i="17"/>
  <c r="D26" i="17"/>
  <c r="C38" i="17"/>
  <c r="E4" i="17"/>
  <c r="C4" i="17"/>
  <c r="E6" i="17"/>
  <c r="C31" i="17"/>
  <c r="D6" i="17"/>
  <c r="D7" i="17"/>
  <c r="E7" i="17"/>
  <c r="D33" i="17"/>
  <c r="C10" i="17"/>
  <c r="C39" i="17"/>
  <c r="D9" i="17"/>
  <c r="D28" i="17"/>
  <c r="D25" i="17"/>
  <c r="E5" i="17"/>
  <c r="C5" i="17"/>
  <c r="E3" i="17"/>
  <c r="D8" i="17"/>
  <c r="D12" i="17"/>
  <c r="D47" i="17"/>
  <c r="C2" i="17"/>
  <c r="D41" i="17"/>
  <c r="C6" i="17"/>
  <c r="C34" i="17"/>
  <c r="D22" i="17"/>
  <c r="E10" i="17"/>
  <c r="C8" i="17"/>
  <c r="D14" i="17"/>
  <c r="D45" i="17"/>
  <c r="C41" i="17"/>
  <c r="C7" i="17"/>
  <c r="C40" i="17"/>
  <c r="C3" i="17"/>
  <c r="E9" i="17"/>
  <c r="D30" i="17"/>
  <c r="D10" i="17"/>
  <c r="D27" i="17"/>
  <c r="E2" i="17"/>
  <c r="C9" i="17"/>
  <c r="D40" i="17"/>
  <c r="C33" i="17"/>
  <c r="D46" i="17"/>
  <c r="C32" i="17"/>
  <c r="D24" i="17"/>
  <c r="D32" i="17"/>
  <c r="D39" i="17"/>
  <c r="D16" i="17"/>
  <c r="D13" i="17"/>
  <c r="D21" i="17"/>
  <c r="M13" i="3"/>
  <c r="M7" i="3"/>
  <c r="M8" i="3"/>
  <c r="M9" i="3"/>
  <c r="M10" i="3"/>
  <c r="M12" i="3"/>
  <c r="M3" i="3"/>
  <c r="O3" i="3" s="1"/>
  <c r="M4" i="3"/>
  <c r="O4" i="3" s="1"/>
  <c r="M5" i="3"/>
  <c r="M6" i="3"/>
  <c r="U22" i="3" l="1"/>
  <c r="F2" i="17"/>
  <c r="AJ76" i="3"/>
  <c r="AK77" i="3"/>
  <c r="AB75" i="3"/>
  <c r="AC76" i="3"/>
  <c r="C45" i="17"/>
  <c r="C43" i="17"/>
  <c r="E43" i="17"/>
  <c r="C47" i="17"/>
  <c r="C44" i="17"/>
  <c r="C46" i="17"/>
  <c r="C14" i="17"/>
  <c r="C16" i="17"/>
  <c r="C26" i="17"/>
  <c r="C20" i="17"/>
  <c r="C15" i="17"/>
  <c r="C25" i="17"/>
  <c r="C13" i="17"/>
  <c r="C28" i="17"/>
  <c r="C21" i="17"/>
  <c r="C22" i="17"/>
  <c r="C30" i="17"/>
  <c r="C24" i="17"/>
  <c r="C27" i="17"/>
  <c r="C29" i="17"/>
  <c r="E19" i="17"/>
  <c r="C12" i="17"/>
  <c r="C23" i="17"/>
  <c r="C17" i="17"/>
  <c r="I70" i="3"/>
  <c r="H71" i="3"/>
  <c r="Q70" i="3"/>
  <c r="P71" i="3"/>
  <c r="M70" i="3"/>
  <c r="L71" i="3"/>
  <c r="B19" i="17"/>
  <c r="B33" i="17"/>
  <c r="E29" i="17"/>
  <c r="E20" i="17"/>
  <c r="E22" i="17"/>
  <c r="B45" i="17"/>
  <c r="B17" i="17"/>
  <c r="B27" i="17"/>
  <c r="E16" i="17"/>
  <c r="E45" i="17"/>
  <c r="B30" i="17"/>
  <c r="B21" i="17"/>
  <c r="B32" i="17"/>
  <c r="E15" i="17"/>
  <c r="B26" i="17"/>
  <c r="B44" i="17"/>
  <c r="E31" i="17"/>
  <c r="E46" i="17"/>
  <c r="B34" i="17"/>
  <c r="E30" i="17"/>
  <c r="B46" i="17"/>
  <c r="E21" i="17"/>
  <c r="E23" i="17"/>
  <c r="E40" i="17"/>
  <c r="E27" i="17"/>
  <c r="E25" i="17"/>
  <c r="E14" i="17"/>
  <c r="E44" i="17"/>
  <c r="B31" i="17"/>
  <c r="B12" i="17"/>
  <c r="B38" i="17"/>
  <c r="B25" i="17"/>
  <c r="B36" i="17"/>
  <c r="E47" i="17"/>
  <c r="B16" i="17"/>
  <c r="B47" i="17"/>
  <c r="B22" i="17"/>
  <c r="E26" i="17"/>
  <c r="E32" i="17"/>
  <c r="B14" i="17"/>
  <c r="B15" i="17"/>
  <c r="E39" i="17"/>
  <c r="B24" i="17"/>
  <c r="B40" i="17"/>
  <c r="B28" i="17"/>
  <c r="B39" i="17"/>
  <c r="B13" i="17"/>
  <c r="E28" i="17"/>
  <c r="E24" i="17"/>
  <c r="E33" i="17"/>
  <c r="E34" i="17"/>
  <c r="B23" i="17"/>
  <c r="G2" i="17"/>
  <c r="B41" i="17"/>
  <c r="E13" i="17"/>
  <c r="B42" i="17"/>
  <c r="U23" i="3" l="1"/>
  <c r="F3" i="17"/>
  <c r="G3" i="17" s="1"/>
  <c r="AK76" i="3"/>
  <c r="AJ75" i="3"/>
  <c r="AC75" i="3"/>
  <c r="AB74" i="3"/>
  <c r="M71" i="3"/>
  <c r="L72" i="3"/>
  <c r="Q71" i="3"/>
  <c r="P72" i="3"/>
  <c r="I71" i="3"/>
  <c r="H72" i="3"/>
  <c r="U24" i="3" l="1"/>
  <c r="F4" i="17"/>
  <c r="G4" i="17" s="1"/>
  <c r="AJ74" i="3"/>
  <c r="AK75" i="3"/>
  <c r="AB73" i="3"/>
  <c r="AC74" i="3"/>
  <c r="I72" i="3"/>
  <c r="H73" i="3"/>
  <c r="Q72" i="3"/>
  <c r="P73" i="3"/>
  <c r="M72" i="3"/>
  <c r="L73" i="3"/>
  <c r="U25" i="3" l="1"/>
  <c r="F5" i="17"/>
  <c r="G5" i="17" s="1"/>
  <c r="AK74" i="3"/>
  <c r="AJ73" i="3"/>
  <c r="AC73" i="3"/>
  <c r="AB72" i="3"/>
  <c r="M73" i="3"/>
  <c r="L74" i="3"/>
  <c r="P74" i="3"/>
  <c r="Q73" i="3"/>
  <c r="H74" i="3"/>
  <c r="I73" i="3"/>
  <c r="U26" i="3" l="1"/>
  <c r="F6" i="17"/>
  <c r="G6" i="17" s="1"/>
  <c r="AJ72" i="3"/>
  <c r="AK73" i="3"/>
  <c r="AB71" i="3"/>
  <c r="AC72" i="3"/>
  <c r="I74" i="3"/>
  <c r="H75" i="3"/>
  <c r="Q74" i="3"/>
  <c r="P75" i="3"/>
  <c r="M74" i="3"/>
  <c r="L75" i="3"/>
  <c r="U27" i="3" l="1"/>
  <c r="F7" i="17"/>
  <c r="G7" i="17" s="1"/>
  <c r="AK72" i="3"/>
  <c r="AJ71" i="3"/>
  <c r="AC71" i="3"/>
  <c r="AB70" i="3"/>
  <c r="M75" i="3"/>
  <c r="L76" i="3"/>
  <c r="Q75" i="3"/>
  <c r="P76" i="3"/>
  <c r="I75" i="3"/>
  <c r="H76" i="3"/>
  <c r="U28" i="3" l="1"/>
  <c r="F8" i="17"/>
  <c r="G8" i="17" s="1"/>
  <c r="AJ70" i="3"/>
  <c r="AK71" i="3"/>
  <c r="AB69" i="3"/>
  <c r="AC70" i="3"/>
  <c r="H77" i="3"/>
  <c r="I76" i="3"/>
  <c r="P77" i="3"/>
  <c r="Q76" i="3"/>
  <c r="M76" i="3"/>
  <c r="L77" i="3"/>
  <c r="U29" i="3" l="1"/>
  <c r="F9" i="17"/>
  <c r="G9" i="17" s="1"/>
  <c r="AK70" i="3"/>
  <c r="AJ69" i="3"/>
  <c r="AC69" i="3"/>
  <c r="AB68" i="3"/>
  <c r="M77" i="3"/>
  <c r="L78" i="3"/>
  <c r="Q77" i="3"/>
  <c r="P78" i="3"/>
  <c r="I77" i="3"/>
  <c r="H78" i="3"/>
  <c r="U30" i="3" l="1"/>
  <c r="F10" i="17"/>
  <c r="G10" i="17" s="1"/>
  <c r="AJ68" i="3"/>
  <c r="AK69" i="3"/>
  <c r="AB67" i="3"/>
  <c r="AC68" i="3"/>
  <c r="H79" i="3"/>
  <c r="I79" i="3" s="1"/>
  <c r="I78" i="3"/>
  <c r="P79" i="3"/>
  <c r="Q78" i="3"/>
  <c r="M78" i="3"/>
  <c r="L79" i="3"/>
  <c r="U31" i="3" l="1"/>
  <c r="F11" i="17"/>
  <c r="G11" i="17" s="1"/>
  <c r="AK68" i="3"/>
  <c r="AJ67" i="3"/>
  <c r="AC67" i="3"/>
  <c r="AB66" i="3"/>
  <c r="M79" i="3"/>
  <c r="L80" i="3"/>
  <c r="L81" i="3" s="1"/>
  <c r="Q79" i="3"/>
  <c r="P80" i="3"/>
  <c r="P81" i="3" s="1"/>
  <c r="H80" i="3"/>
  <c r="H81" i="3" s="1"/>
  <c r="U32" i="3" l="1"/>
  <c r="F12" i="17"/>
  <c r="G12" i="17" s="1"/>
  <c r="AJ66" i="3"/>
  <c r="AK67" i="3"/>
  <c r="AB65" i="3"/>
  <c r="AC66" i="3"/>
  <c r="I81" i="3"/>
  <c r="H82" i="3"/>
  <c r="Q81" i="3"/>
  <c r="P82" i="3"/>
  <c r="L82" i="3"/>
  <c r="M81" i="3"/>
  <c r="I80" i="3"/>
  <c r="Q80" i="3"/>
  <c r="M80" i="3"/>
  <c r="U33" i="3" l="1"/>
  <c r="F13" i="17"/>
  <c r="G13" i="17" s="1"/>
  <c r="AK66" i="3"/>
  <c r="AJ65" i="3"/>
  <c r="AC65" i="3"/>
  <c r="AB64" i="3"/>
  <c r="M82" i="3"/>
  <c r="Q82" i="3"/>
  <c r="P84" i="3"/>
  <c r="I82" i="3"/>
  <c r="U34" i="3" l="1"/>
  <c r="F14" i="17"/>
  <c r="G14" i="17" s="1"/>
  <c r="Q84" i="3"/>
  <c r="K2" i="12" s="1"/>
  <c r="AJ64" i="3"/>
  <c r="AK65" i="3"/>
  <c r="AB63" i="3"/>
  <c r="AC64" i="3"/>
  <c r="H84" i="3"/>
  <c r="L84" i="3"/>
  <c r="G41" i="22"/>
  <c r="H41" i="22" s="1"/>
  <c r="I41" i="22" s="1"/>
  <c r="J41" i="22" s="1"/>
  <c r="G50" i="22"/>
  <c r="H50" i="22" s="1"/>
  <c r="I50" i="22" s="1"/>
  <c r="J50" i="22" s="1"/>
  <c r="G45" i="22"/>
  <c r="H45" i="22" s="1"/>
  <c r="I45" i="22" s="1"/>
  <c r="J45" i="22" s="1"/>
  <c r="G47" i="22"/>
  <c r="H47" i="22" s="1"/>
  <c r="I47" i="22" s="1"/>
  <c r="J47" i="22" s="1"/>
  <c r="G40" i="22"/>
  <c r="H40" i="22" s="1"/>
  <c r="I40" i="22" s="1"/>
  <c r="J40" i="22" s="1"/>
  <c r="G48" i="22"/>
  <c r="H48" i="22" s="1"/>
  <c r="I48" i="22" s="1"/>
  <c r="J48" i="22" s="1"/>
  <c r="G49" i="22"/>
  <c r="H49" i="22" s="1"/>
  <c r="I49" i="22" s="1"/>
  <c r="J49" i="22" s="1"/>
  <c r="G46" i="22"/>
  <c r="H46" i="22" s="1"/>
  <c r="I46" i="22" s="1"/>
  <c r="J46" i="22" s="1"/>
  <c r="G43" i="22"/>
  <c r="H43" i="22" s="1"/>
  <c r="I43" i="22" s="1"/>
  <c r="J43" i="22" s="1"/>
  <c r="G39" i="22"/>
  <c r="H39" i="22" s="1"/>
  <c r="I39" i="22" s="1"/>
  <c r="J39" i="22" s="1"/>
  <c r="G44" i="22"/>
  <c r="H44" i="22" s="1"/>
  <c r="I44" i="22" s="1"/>
  <c r="J44" i="22" s="1"/>
  <c r="G42" i="22"/>
  <c r="H42" i="22" s="1"/>
  <c r="I42" i="22" s="1"/>
  <c r="J42" i="22" s="1"/>
  <c r="G51" i="22"/>
  <c r="H51" i="22" s="1"/>
  <c r="I51" i="22" s="1"/>
  <c r="J51" i="22" s="1"/>
  <c r="G28" i="22"/>
  <c r="H28" i="22" s="1"/>
  <c r="I28" i="22" s="1"/>
  <c r="J28" i="22" s="1"/>
  <c r="G25" i="22"/>
  <c r="H25" i="22" s="1"/>
  <c r="I25" i="22" s="1"/>
  <c r="J25" i="22" s="1"/>
  <c r="G23" i="22"/>
  <c r="H23" i="22" s="1"/>
  <c r="I23" i="22" s="1"/>
  <c r="J23" i="22" s="1"/>
  <c r="G30" i="22"/>
  <c r="H30" i="22" s="1"/>
  <c r="I30" i="22" s="1"/>
  <c r="J30" i="22" s="1"/>
  <c r="G24" i="22"/>
  <c r="H24" i="22" s="1"/>
  <c r="I24" i="22" s="1"/>
  <c r="J24" i="22" s="1"/>
  <c r="G22" i="22"/>
  <c r="H22" i="22" s="1"/>
  <c r="I22" i="22" s="1"/>
  <c r="J22" i="22" s="1"/>
  <c r="G32" i="22"/>
  <c r="H32" i="22" s="1"/>
  <c r="I32" i="22" s="1"/>
  <c r="J32" i="22" s="1"/>
  <c r="G31" i="22"/>
  <c r="H31" i="22" s="1"/>
  <c r="I31" i="22" s="1"/>
  <c r="J31" i="22" s="1"/>
  <c r="G29" i="22"/>
  <c r="H29" i="22" s="1"/>
  <c r="I29" i="22" s="1"/>
  <c r="J29" i="22" s="1"/>
  <c r="G26" i="22"/>
  <c r="H26" i="22" s="1"/>
  <c r="I26" i="22" s="1"/>
  <c r="J26" i="22" s="1"/>
  <c r="G21" i="22"/>
  <c r="H21" i="22" s="1"/>
  <c r="I21" i="22" s="1"/>
  <c r="J21" i="22" s="1"/>
  <c r="D42" i="22"/>
  <c r="D45" i="22"/>
  <c r="D47" i="22"/>
  <c r="D39" i="22"/>
  <c r="D40" i="22"/>
  <c r="D46" i="22"/>
  <c r="D43" i="22"/>
  <c r="D49" i="22"/>
  <c r="D44" i="22"/>
  <c r="D41" i="22"/>
  <c r="D50" i="22"/>
  <c r="D51" i="22"/>
  <c r="D48" i="22"/>
  <c r="D31" i="22"/>
  <c r="D29" i="22"/>
  <c r="D23" i="22"/>
  <c r="D28" i="22"/>
  <c r="D26" i="22"/>
  <c r="D21" i="22"/>
  <c r="D32" i="22"/>
  <c r="D30" i="22"/>
  <c r="D25" i="22"/>
  <c r="D22" i="22"/>
  <c r="D27" i="22"/>
  <c r="D24" i="22"/>
  <c r="U35" i="3" l="1"/>
  <c r="F15" i="17"/>
  <c r="G15" i="17" s="1"/>
  <c r="I84" i="3"/>
  <c r="L2" i="12" s="1"/>
  <c r="M84" i="3"/>
  <c r="O2" i="12" s="1"/>
  <c r="AJ63" i="3"/>
  <c r="AK64" i="3"/>
  <c r="AC63" i="3"/>
  <c r="AB62" i="3"/>
  <c r="G7" i="22"/>
  <c r="H7" i="22" s="1"/>
  <c r="I7" i="22" s="1"/>
  <c r="J7" i="22" s="1"/>
  <c r="G2" i="22"/>
  <c r="H2" i="22" s="1"/>
  <c r="I2" i="22" s="1"/>
  <c r="J2" i="22" s="1"/>
  <c r="G38" i="22"/>
  <c r="H38" i="22" s="1"/>
  <c r="I38" i="22" s="1"/>
  <c r="J38" i="22" s="1"/>
  <c r="G11" i="22"/>
  <c r="H11" i="22" s="1"/>
  <c r="I11" i="22" s="1"/>
  <c r="J11" i="22" s="1"/>
  <c r="G20" i="22"/>
  <c r="H20" i="22" s="1"/>
  <c r="I20" i="22" s="1"/>
  <c r="J20" i="22" s="1"/>
  <c r="G13" i="22"/>
  <c r="H13" i="22" s="1"/>
  <c r="I13" i="22" s="1"/>
  <c r="J13" i="22" s="1"/>
  <c r="G33" i="22"/>
  <c r="H33" i="22" s="1"/>
  <c r="I33" i="22" s="1"/>
  <c r="J33" i="22" s="1"/>
  <c r="G17" i="22"/>
  <c r="H17" i="22" s="1"/>
  <c r="I17" i="22" s="1"/>
  <c r="J17" i="22" s="1"/>
  <c r="G6" i="22"/>
  <c r="H6" i="22" s="1"/>
  <c r="I6" i="22" s="1"/>
  <c r="J6" i="22" s="1"/>
  <c r="G14" i="22"/>
  <c r="H14" i="22" s="1"/>
  <c r="I14" i="22" s="1"/>
  <c r="J14" i="22" s="1"/>
  <c r="G35" i="22"/>
  <c r="H35" i="22" s="1"/>
  <c r="I35" i="22" s="1"/>
  <c r="J35" i="22" s="1"/>
  <c r="G18" i="22"/>
  <c r="H18" i="22" s="1"/>
  <c r="I18" i="22" s="1"/>
  <c r="J18" i="22" s="1"/>
  <c r="G16" i="22"/>
  <c r="H16" i="22" s="1"/>
  <c r="I16" i="22" s="1"/>
  <c r="J16" i="22" s="1"/>
  <c r="G8" i="22"/>
  <c r="H8" i="22" s="1"/>
  <c r="I8" i="22" s="1"/>
  <c r="J8" i="22" s="1"/>
  <c r="G37" i="22"/>
  <c r="H37" i="22" s="1"/>
  <c r="I37" i="22" s="1"/>
  <c r="J37" i="22" s="1"/>
  <c r="G15" i="22"/>
  <c r="H15" i="22" s="1"/>
  <c r="I15" i="22" s="1"/>
  <c r="J15" i="22" s="1"/>
  <c r="K5" i="22"/>
  <c r="L5" i="22" s="1"/>
  <c r="M5" i="22" s="1"/>
  <c r="N5" i="22" s="1"/>
  <c r="O5" i="22" s="1"/>
  <c r="K4" i="22"/>
  <c r="L4" i="22" s="1"/>
  <c r="M4" i="22" s="1"/>
  <c r="N4" i="22" s="1"/>
  <c r="O4" i="22" s="1"/>
  <c r="G10" i="22"/>
  <c r="H10" i="22" s="1"/>
  <c r="I10" i="22" s="1"/>
  <c r="J10" i="22" s="1"/>
  <c r="G3" i="22"/>
  <c r="H3" i="22" s="1"/>
  <c r="I3" i="22" s="1"/>
  <c r="J3" i="22" s="1"/>
  <c r="G36" i="22"/>
  <c r="H36" i="22" s="1"/>
  <c r="I36" i="22" s="1"/>
  <c r="J36" i="22" s="1"/>
  <c r="G12" i="22"/>
  <c r="H12" i="22" s="1"/>
  <c r="I12" i="22" s="1"/>
  <c r="J12" i="22" s="1"/>
  <c r="G4" i="22"/>
  <c r="H4" i="22" s="1"/>
  <c r="I4" i="22" s="1"/>
  <c r="J4" i="22" s="1"/>
  <c r="K2" i="22"/>
  <c r="L2" i="22" s="1"/>
  <c r="M2" i="22" s="1"/>
  <c r="N2" i="22" s="1"/>
  <c r="O2" i="22" s="1"/>
  <c r="G19" i="22"/>
  <c r="H19" i="22" s="1"/>
  <c r="I19" i="22" s="1"/>
  <c r="J19" i="22" s="1"/>
  <c r="G5" i="22"/>
  <c r="H5" i="22" s="1"/>
  <c r="I5" i="22" s="1"/>
  <c r="J5" i="22" s="1"/>
  <c r="K3" i="22"/>
  <c r="L3" i="22" s="1"/>
  <c r="M3" i="22" s="1"/>
  <c r="N3" i="22" s="1"/>
  <c r="O3" i="22" s="1"/>
  <c r="G9" i="22"/>
  <c r="H9" i="22" s="1"/>
  <c r="I9" i="22" s="1"/>
  <c r="J9" i="22" s="1"/>
  <c r="G34" i="22"/>
  <c r="H34" i="22" s="1"/>
  <c r="I34" i="22" s="1"/>
  <c r="J34" i="22" s="1"/>
  <c r="D38" i="22"/>
  <c r="D9" i="22"/>
  <c r="D8" i="22"/>
  <c r="D14" i="22"/>
  <c r="D6" i="22"/>
  <c r="D36" i="22"/>
  <c r="E36" i="22" s="1"/>
  <c r="F36" i="22" s="1"/>
  <c r="D37" i="22"/>
  <c r="D11" i="22"/>
  <c r="D17" i="22"/>
  <c r="D10" i="22"/>
  <c r="D3" i="22"/>
  <c r="D33" i="22"/>
  <c r="D20" i="22"/>
  <c r="D35" i="22"/>
  <c r="D4" i="22"/>
  <c r="D12" i="22"/>
  <c r="D2" i="22"/>
  <c r="D34" i="22"/>
  <c r="D5" i="22"/>
  <c r="D18" i="22"/>
  <c r="D19" i="22"/>
  <c r="D16" i="22"/>
  <c r="D15" i="22"/>
  <c r="D7" i="22"/>
  <c r="D13" i="22"/>
  <c r="G27" i="22"/>
  <c r="H27" i="22" s="1"/>
  <c r="I27" i="22" s="1"/>
  <c r="J27" i="22" s="1"/>
  <c r="E42" i="22"/>
  <c r="F42" i="22" s="1"/>
  <c r="E32" i="22"/>
  <c r="F32" i="22" s="1"/>
  <c r="E29" i="22"/>
  <c r="F29" i="22" s="1"/>
  <c r="E49" i="22"/>
  <c r="F49" i="22" s="1"/>
  <c r="E31" i="22"/>
  <c r="F31" i="22" s="1"/>
  <c r="E43" i="22"/>
  <c r="F43" i="22" s="1"/>
  <c r="E23" i="22"/>
  <c r="F23" i="22" s="1"/>
  <c r="E24" i="22"/>
  <c r="F24" i="22" s="1"/>
  <c r="E46" i="22"/>
  <c r="F46" i="22" s="1"/>
  <c r="E27" i="22"/>
  <c r="F27" i="22" s="1"/>
  <c r="E21" i="22"/>
  <c r="F21" i="22" s="1"/>
  <c r="E48" i="22"/>
  <c r="F48" i="22" s="1"/>
  <c r="E40" i="22"/>
  <c r="F40" i="22" s="1"/>
  <c r="E30" i="22"/>
  <c r="F30" i="22" s="1"/>
  <c r="E22" i="22"/>
  <c r="F22" i="22" s="1"/>
  <c r="E26" i="22"/>
  <c r="F26" i="22" s="1"/>
  <c r="E51" i="22"/>
  <c r="F51" i="22" s="1"/>
  <c r="E39" i="22"/>
  <c r="F39" i="22" s="1"/>
  <c r="E44" i="22"/>
  <c r="F44" i="22" s="1"/>
  <c r="E28" i="22"/>
  <c r="F28" i="22" s="1"/>
  <c r="E50" i="22"/>
  <c r="F50" i="22" s="1"/>
  <c r="E47" i="22"/>
  <c r="F47" i="22" s="1"/>
  <c r="E25" i="22"/>
  <c r="F25" i="22" s="1"/>
  <c r="E41" i="22"/>
  <c r="F41" i="22" s="1"/>
  <c r="E45" i="22"/>
  <c r="F45" i="22" s="1"/>
  <c r="U36" i="3" l="1"/>
  <c r="B23" i="12"/>
  <c r="I23" i="12" s="1"/>
  <c r="B22" i="12"/>
  <c r="I22" i="12" s="1"/>
  <c r="B18" i="12"/>
  <c r="I18" i="12" s="1"/>
  <c r="B19" i="12"/>
  <c r="I19" i="12" s="1"/>
  <c r="AK63" i="3"/>
  <c r="AJ62" i="3"/>
  <c r="AB61" i="3"/>
  <c r="AC62" i="3"/>
  <c r="E14" i="22"/>
  <c r="F14" i="22" s="1"/>
  <c r="E5" i="22"/>
  <c r="F5" i="22" s="1"/>
  <c r="P5" i="22" s="1"/>
  <c r="E10" i="22"/>
  <c r="F10" i="22" s="1"/>
  <c r="E9" i="22"/>
  <c r="F9" i="22" s="1"/>
  <c r="E2" i="22"/>
  <c r="F2" i="22" s="1"/>
  <c r="E17" i="22"/>
  <c r="F17" i="22" s="1"/>
  <c r="E38" i="22"/>
  <c r="F38" i="22" s="1"/>
  <c r="E7" i="22"/>
  <c r="F7" i="22" s="1"/>
  <c r="E12" i="22"/>
  <c r="F12" i="22" s="1"/>
  <c r="E11" i="22"/>
  <c r="F11" i="22" s="1"/>
  <c r="E33" i="22"/>
  <c r="F33" i="22" s="1"/>
  <c r="E3" i="22"/>
  <c r="F3" i="22" s="1"/>
  <c r="E8" i="22"/>
  <c r="F8" i="22" s="1"/>
  <c r="E13" i="22"/>
  <c r="F13" i="22" s="1"/>
  <c r="E4" i="22"/>
  <c r="F4" i="22" s="1"/>
  <c r="E37" i="22"/>
  <c r="F37" i="22" s="1"/>
  <c r="E16" i="22"/>
  <c r="F16" i="22" s="1"/>
  <c r="E35" i="22"/>
  <c r="F35" i="22" s="1"/>
  <c r="E18" i="22"/>
  <c r="F18" i="22" s="1"/>
  <c r="E34" i="22"/>
  <c r="F34" i="22" s="1"/>
  <c r="E15" i="22"/>
  <c r="F15" i="22" s="1"/>
  <c r="E19" i="22"/>
  <c r="F19" i="22" s="1"/>
  <c r="E20" i="22"/>
  <c r="F20" i="22" s="1"/>
  <c r="E6" i="22"/>
  <c r="F6" i="22" s="1"/>
  <c r="B34" i="12" l="1"/>
  <c r="D19" i="12"/>
  <c r="E56" i="12" s="1"/>
  <c r="F16" i="17"/>
  <c r="G16" i="17" s="1"/>
  <c r="K6" i="22"/>
  <c r="L6" i="22" s="1"/>
  <c r="M6" i="22" s="1"/>
  <c r="N6" i="22" s="1"/>
  <c r="O6" i="22" s="1"/>
  <c r="U37" i="3"/>
  <c r="AK62" i="3"/>
  <c r="AJ61" i="3"/>
  <c r="B35" i="12"/>
  <c r="AC61" i="3"/>
  <c r="AB60" i="3"/>
  <c r="D18" i="12"/>
  <c r="E55" i="12" s="1"/>
  <c r="B39" i="12"/>
  <c r="D23" i="12"/>
  <c r="E60" i="12" s="1"/>
  <c r="B32" i="12"/>
  <c r="P3" i="22"/>
  <c r="P4" i="22"/>
  <c r="P2" i="22"/>
  <c r="D17" i="12"/>
  <c r="E54" i="12" s="1"/>
  <c r="B33" i="12"/>
  <c r="P6" i="22" l="1"/>
  <c r="F17" i="17"/>
  <c r="G17" i="17" s="1"/>
  <c r="K7" i="22"/>
  <c r="U38" i="3"/>
  <c r="B36" i="12"/>
  <c r="D20" i="12"/>
  <c r="E57" i="12" s="1"/>
  <c r="AJ60" i="3"/>
  <c r="AK61" i="3"/>
  <c r="AB59" i="3"/>
  <c r="AC60" i="3"/>
  <c r="D21" i="12"/>
  <c r="E58" i="12" s="1"/>
  <c r="B37" i="12"/>
  <c r="L7" i="22" l="1"/>
  <c r="M7" i="22" s="1"/>
  <c r="N7" i="22" s="1"/>
  <c r="O7" i="22" s="1"/>
  <c r="F18" i="17"/>
  <c r="G18" i="17" s="1"/>
  <c r="K8" i="22"/>
  <c r="U39" i="3"/>
  <c r="AK60" i="3"/>
  <c r="AJ59" i="3"/>
  <c r="AC59" i="3"/>
  <c r="AB58" i="3"/>
  <c r="D22" i="12"/>
  <c r="E59" i="12" s="1"/>
  <c r="B38" i="12"/>
  <c r="P7" i="22" l="1"/>
  <c r="L8" i="22"/>
  <c r="M8" i="22" s="1"/>
  <c r="N8" i="22" s="1"/>
  <c r="O8" i="22" s="1"/>
  <c r="F19" i="17"/>
  <c r="G19" i="17" s="1"/>
  <c r="K9" i="22"/>
  <c r="U40" i="3"/>
  <c r="AJ58" i="3"/>
  <c r="AK59" i="3"/>
  <c r="AB57" i="3"/>
  <c r="AC58" i="3"/>
  <c r="P8" i="22" l="1"/>
  <c r="L9" i="22"/>
  <c r="M9" i="22" s="1"/>
  <c r="N9" i="22" s="1"/>
  <c r="O9" i="22" s="1"/>
  <c r="F20" i="17"/>
  <c r="G20" i="17" s="1"/>
  <c r="K10" i="22"/>
  <c r="U41" i="3"/>
  <c r="AK58" i="3"/>
  <c r="AJ57" i="3"/>
  <c r="AC57" i="3"/>
  <c r="AB56" i="3"/>
  <c r="L10" i="22" l="1"/>
  <c r="M10" i="22" s="1"/>
  <c r="N10" i="22" s="1"/>
  <c r="O10" i="22" s="1"/>
  <c r="P9" i="22"/>
  <c r="F21" i="17"/>
  <c r="G21" i="17" s="1"/>
  <c r="K11" i="22"/>
  <c r="U42" i="3"/>
  <c r="AJ56" i="3"/>
  <c r="AK57" i="3"/>
  <c r="AB55" i="3"/>
  <c r="AC55" i="3" s="1"/>
  <c r="AC56" i="3"/>
  <c r="L11" i="22" l="1"/>
  <c r="M11" i="22" s="1"/>
  <c r="N11" i="22" s="1"/>
  <c r="O11" i="22" s="1"/>
  <c r="P11" i="22"/>
  <c r="P10" i="22"/>
  <c r="F22" i="17"/>
  <c r="G22" i="17" s="1"/>
  <c r="K12" i="22"/>
  <c r="U43" i="3"/>
  <c r="AK56" i="3"/>
  <c r="AJ55" i="3"/>
  <c r="AK55" i="3" s="1"/>
  <c r="L12" i="22" l="1"/>
  <c r="M12" i="22" s="1"/>
  <c r="N12" i="22" s="1"/>
  <c r="O12" i="22" s="1"/>
  <c r="F23" i="17"/>
  <c r="G23" i="17" s="1"/>
  <c r="K13" i="22"/>
  <c r="U44" i="3"/>
  <c r="P12" i="22" l="1"/>
  <c r="L13" i="22"/>
  <c r="M13" i="22" s="1"/>
  <c r="N13" i="22" s="1"/>
  <c r="O13" i="22" s="1"/>
  <c r="U45" i="3"/>
  <c r="F24" i="17"/>
  <c r="G24" i="17" s="1"/>
  <c r="K14" i="22"/>
  <c r="P13" i="22" l="1"/>
  <c r="L14" i="22"/>
  <c r="M14" i="22" s="1"/>
  <c r="N14" i="22" s="1"/>
  <c r="O14" i="22" s="1"/>
  <c r="F25" i="17"/>
  <c r="G25" i="17" s="1"/>
  <c r="K15" i="22"/>
  <c r="U46" i="3"/>
  <c r="P14" i="22" l="1"/>
  <c r="U47" i="3"/>
  <c r="L15" i="22"/>
  <c r="M15" i="22" s="1"/>
  <c r="N15" i="22" s="1"/>
  <c r="O15" i="22" s="1"/>
  <c r="F26" i="17"/>
  <c r="G26" i="17" s="1"/>
  <c r="K16" i="22"/>
  <c r="P15" i="22" l="1"/>
  <c r="L16" i="22"/>
  <c r="M16" i="22" s="1"/>
  <c r="N16" i="22" s="1"/>
  <c r="O16" i="22" s="1"/>
  <c r="K17" i="22"/>
  <c r="F27" i="17"/>
  <c r="G27" i="17" s="1"/>
  <c r="U48" i="3"/>
  <c r="P16" i="22" l="1"/>
  <c r="F28" i="17"/>
  <c r="G28" i="17" s="1"/>
  <c r="K18" i="22"/>
  <c r="U49" i="3"/>
  <c r="L17" i="22"/>
  <c r="M17" i="22" s="1"/>
  <c r="N17" i="22" s="1"/>
  <c r="O17" i="22" s="1"/>
  <c r="P17" i="22" l="1"/>
  <c r="U50" i="3"/>
  <c r="F29" i="17"/>
  <c r="G29" i="17" s="1"/>
  <c r="K19" i="22"/>
  <c r="L18" i="22"/>
  <c r="M18" i="22" s="1"/>
  <c r="N18" i="22" s="1"/>
  <c r="O18" i="22" s="1"/>
  <c r="P18" i="22" l="1"/>
  <c r="L19" i="22"/>
  <c r="M19" i="22" s="1"/>
  <c r="N19" i="22" s="1"/>
  <c r="O19" i="22" s="1"/>
  <c r="U51" i="3"/>
  <c r="F30" i="17"/>
  <c r="G30" i="17" s="1"/>
  <c r="K20" i="22"/>
  <c r="P19" i="22" l="1"/>
  <c r="L20" i="22"/>
  <c r="M20" i="22" s="1"/>
  <c r="N20" i="22" s="1"/>
  <c r="O20" i="22" s="1"/>
  <c r="U52" i="3"/>
  <c r="F31" i="17"/>
  <c r="G31" i="17" s="1"/>
  <c r="K21" i="22"/>
  <c r="U53" i="3" l="1"/>
  <c r="F32" i="17"/>
  <c r="G32" i="17" s="1"/>
  <c r="K22" i="22"/>
  <c r="L21" i="22"/>
  <c r="M21" i="22" s="1"/>
  <c r="N21" i="22" s="1"/>
  <c r="O21" i="22" s="1"/>
  <c r="P20" i="22"/>
  <c r="F33" i="17" l="1"/>
  <c r="G33" i="17" s="1"/>
  <c r="K23" i="22"/>
  <c r="U54" i="3"/>
  <c r="P21" i="22"/>
  <c r="L22" i="22"/>
  <c r="M22" i="22" s="1"/>
  <c r="N22" i="22" s="1"/>
  <c r="O22" i="22" s="1"/>
  <c r="P22" i="22"/>
  <c r="K24" i="22" l="1"/>
  <c r="F34" i="17"/>
  <c r="G34" i="17" s="1"/>
  <c r="U55" i="3"/>
  <c r="L23" i="22"/>
  <c r="M23" i="22" s="1"/>
  <c r="N23" i="22" s="1"/>
  <c r="O23" i="22" s="1"/>
  <c r="P23" i="22" l="1"/>
  <c r="L24" i="22"/>
  <c r="M24" i="22" s="1"/>
  <c r="N24" i="22" s="1"/>
  <c r="O24" i="22" s="1"/>
  <c r="K25" i="22"/>
  <c r="F35" i="17"/>
  <c r="G35" i="17" s="1"/>
  <c r="U56" i="3"/>
  <c r="F36" i="17" l="1"/>
  <c r="G36" i="17" s="1"/>
  <c r="K26" i="22"/>
  <c r="L25" i="22"/>
  <c r="M25" i="22" s="1"/>
  <c r="N25" i="22" s="1"/>
  <c r="O25" i="22" s="1"/>
  <c r="P24" i="22"/>
  <c r="U57" i="3"/>
  <c r="U58" i="3" l="1"/>
  <c r="F37" i="17"/>
  <c r="G37" i="17" s="1"/>
  <c r="K27" i="22"/>
  <c r="P25" i="22"/>
  <c r="L26" i="22"/>
  <c r="M26" i="22" s="1"/>
  <c r="N26" i="22" s="1"/>
  <c r="O26" i="22" s="1"/>
  <c r="U59" i="3" l="1"/>
  <c r="K28" i="22"/>
  <c r="F38" i="17"/>
  <c r="G38" i="17" s="1"/>
  <c r="P26" i="22"/>
  <c r="L27" i="22"/>
  <c r="M27" i="22" s="1"/>
  <c r="N27" i="22" s="1"/>
  <c r="O27" i="22" s="1"/>
  <c r="F39" i="17" l="1"/>
  <c r="G39" i="17" s="1"/>
  <c r="K29" i="22"/>
  <c r="P27" i="22"/>
  <c r="L28" i="22"/>
  <c r="M28" i="22" s="1"/>
  <c r="N28" i="22" s="1"/>
  <c r="O28" i="22" s="1"/>
  <c r="U60" i="3"/>
  <c r="F40" i="17" l="1"/>
  <c r="G40" i="17" s="1"/>
  <c r="K30" i="22"/>
  <c r="U61" i="3"/>
  <c r="L29" i="22"/>
  <c r="M29" i="22" s="1"/>
  <c r="N29" i="22" s="1"/>
  <c r="O29" i="22" s="1"/>
  <c r="P28" i="22"/>
  <c r="P29" i="22" l="1"/>
  <c r="K31" i="22"/>
  <c r="F41" i="17"/>
  <c r="G41" i="17" s="1"/>
  <c r="U62" i="3"/>
  <c r="L30" i="22"/>
  <c r="M30" i="22" s="1"/>
  <c r="N30" i="22" s="1"/>
  <c r="O30" i="22" s="1"/>
  <c r="P30" i="22" l="1"/>
  <c r="F42" i="17"/>
  <c r="G42" i="17" s="1"/>
  <c r="K32" i="22"/>
  <c r="U63" i="3"/>
  <c r="L31" i="22"/>
  <c r="M31" i="22" s="1"/>
  <c r="N31" i="22" s="1"/>
  <c r="O31" i="22" s="1"/>
  <c r="P31" i="22"/>
  <c r="U64" i="3" l="1"/>
  <c r="L32" i="22"/>
  <c r="M32" i="22" s="1"/>
  <c r="N32" i="22" s="1"/>
  <c r="O32" i="22" s="1"/>
  <c r="F43" i="17"/>
  <c r="G43" i="17" s="1"/>
  <c r="K33" i="22"/>
  <c r="L33" i="22" l="1"/>
  <c r="M33" i="22" s="1"/>
  <c r="N33" i="22" s="1"/>
  <c r="O33" i="22" s="1"/>
  <c r="U65" i="3"/>
  <c r="P32" i="22"/>
  <c r="F44" i="17"/>
  <c r="G44" i="17" s="1"/>
  <c r="K34" i="22"/>
  <c r="P33" i="22" l="1"/>
  <c r="L34" i="22"/>
  <c r="M34" i="22" s="1"/>
  <c r="N34" i="22" s="1"/>
  <c r="O34" i="22" s="1"/>
  <c r="P34" i="22"/>
  <c r="K35" i="22"/>
  <c r="F45" i="17"/>
  <c r="G45" i="17" s="1"/>
  <c r="U66" i="3"/>
  <c r="L35" i="22" l="1"/>
  <c r="M35" i="22" s="1"/>
  <c r="N35" i="22" s="1"/>
  <c r="O35" i="22" s="1"/>
  <c r="K36" i="22"/>
  <c r="F46" i="17"/>
  <c r="G46" i="17" s="1"/>
  <c r="U67" i="3"/>
  <c r="P35" i="22" l="1"/>
  <c r="K37" i="22"/>
  <c r="F47" i="17"/>
  <c r="G47" i="17" s="1"/>
  <c r="L36" i="22"/>
  <c r="M36" i="22" s="1"/>
  <c r="N36" i="22" s="1"/>
  <c r="O36" i="22" s="1"/>
  <c r="U68" i="3"/>
  <c r="L37" i="22" l="1"/>
  <c r="M37" i="22" s="1"/>
  <c r="N37" i="22" s="1"/>
  <c r="O37" i="22" s="1"/>
  <c r="U69" i="3"/>
  <c r="F48" i="17"/>
  <c r="G48" i="17" s="1"/>
  <c r="K38" i="22"/>
  <c r="P36" i="22"/>
  <c r="P37" i="22" l="1"/>
  <c r="U70" i="3"/>
  <c r="K40" i="22"/>
  <c r="K39" i="22"/>
  <c r="F49" i="17"/>
  <c r="G49" i="17" s="1"/>
  <c r="L38" i="22"/>
  <c r="M38" i="22" s="1"/>
  <c r="N38" i="22" s="1"/>
  <c r="O38" i="22" s="1"/>
  <c r="P38" i="22" l="1"/>
  <c r="L40" i="22"/>
  <c r="M40" i="22" s="1"/>
  <c r="N40" i="22" s="1"/>
  <c r="O40" i="22" s="1"/>
  <c r="U71" i="3"/>
  <c r="K41" i="22"/>
  <c r="L39" i="22"/>
  <c r="M39" i="22" s="1"/>
  <c r="N39" i="22" s="1"/>
  <c r="O39" i="22" s="1"/>
  <c r="P39" i="22" l="1"/>
  <c r="L41" i="22"/>
  <c r="M41" i="22" s="1"/>
  <c r="N41" i="22" s="1"/>
  <c r="O41" i="22" s="1"/>
  <c r="P40" i="22"/>
  <c r="K42" i="22"/>
  <c r="U72" i="3"/>
  <c r="P41" i="22" l="1"/>
  <c r="L42" i="22"/>
  <c r="M42" i="22" s="1"/>
  <c r="N42" i="22" s="1"/>
  <c r="O42" i="22" s="1"/>
  <c r="P42" i="22"/>
  <c r="U73" i="3"/>
  <c r="K43" i="22"/>
  <c r="U74" i="3" l="1"/>
  <c r="K44" i="22"/>
  <c r="L43" i="22"/>
  <c r="M43" i="22" s="1"/>
  <c r="N43" i="22" s="1"/>
  <c r="O43" i="22" s="1"/>
  <c r="P43" i="22" l="1"/>
  <c r="L44" i="22"/>
  <c r="M44" i="22" s="1"/>
  <c r="N44" i="22" s="1"/>
  <c r="O44" i="22" s="1"/>
  <c r="K45" i="22"/>
  <c r="U75" i="3"/>
  <c r="L45" i="22" l="1"/>
  <c r="M45" i="22" s="1"/>
  <c r="N45" i="22" s="1"/>
  <c r="O45" i="22" s="1"/>
  <c r="U76" i="3"/>
  <c r="K46" i="22"/>
  <c r="P44" i="22"/>
  <c r="P45" i="22" l="1"/>
  <c r="L46" i="22"/>
  <c r="M46" i="22" s="1"/>
  <c r="N46" i="22" s="1"/>
  <c r="O46" i="22" s="1"/>
  <c r="K47" i="22"/>
  <c r="U77" i="3"/>
  <c r="K48" i="22" l="1"/>
  <c r="U78" i="3"/>
  <c r="L47" i="22"/>
  <c r="M47" i="22" s="1"/>
  <c r="N47" i="22" s="1"/>
  <c r="O47" i="22" s="1"/>
  <c r="P46" i="22"/>
  <c r="P47" i="22" l="1"/>
  <c r="K49" i="22"/>
  <c r="U79" i="3"/>
  <c r="L48" i="22"/>
  <c r="M48" i="22" s="1"/>
  <c r="N48" i="22" s="1"/>
  <c r="O48" i="22" s="1"/>
  <c r="P48" i="22"/>
  <c r="K50" i="22" l="1"/>
  <c r="U80" i="3"/>
  <c r="L49" i="22"/>
  <c r="M49" i="22" s="1"/>
  <c r="N49" i="22" s="1"/>
  <c r="O49" i="22" s="1"/>
  <c r="L50" i="22" l="1"/>
  <c r="M50" i="22" s="1"/>
  <c r="N50" i="22" s="1"/>
  <c r="O50" i="22" s="1"/>
  <c r="P50" i="22"/>
  <c r="P49" i="22"/>
  <c r="U81" i="3"/>
  <c r="K51" i="22"/>
  <c r="U82" i="3" l="1"/>
  <c r="L51" i="22"/>
  <c r="M51" i="22" s="1"/>
  <c r="N51" i="22" s="1"/>
  <c r="O51" i="22" s="1"/>
  <c r="P51" i="22" l="1"/>
  <c r="U84" i="3" l="1"/>
  <c r="Q2" i="12" s="1"/>
  <c r="B24" i="12" s="1"/>
  <c r="I24" i="12" l="1"/>
  <c r="B25" i="12"/>
  <c r="B40" i="12"/>
  <c r="D24" i="12"/>
  <c r="E61" i="12" s="1"/>
  <c r="D25" i="12" l="1"/>
  <c r="E62" i="12" s="1"/>
  <c r="B26" i="12"/>
  <c r="B41" i="12"/>
  <c r="I25" i="12"/>
  <c r="D26" i="12" l="1"/>
  <c r="E63" i="12" s="1"/>
  <c r="I26" i="12"/>
  <c r="K18" i="12" s="1"/>
  <c r="K19" i="12" s="1"/>
  <c r="K20" i="12" s="1"/>
  <c r="K21" i="12" s="1"/>
  <c r="K22" i="12" s="1"/>
  <c r="K23" i="12" s="1"/>
  <c r="K24" i="12" s="1"/>
  <c r="K25" i="12" s="1"/>
  <c r="K26" i="12" s="1"/>
  <c r="B42" i="12"/>
  <c r="D33" i="12" s="1"/>
  <c r="B27" i="12"/>
  <c r="I27" i="12" l="1"/>
  <c r="D27" i="12"/>
  <c r="E64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9AC876-325B-4EE6-85DE-7C07ECF193D2}" keepAlive="1" name="Consulta - data?apiKey=ak_TpUdzWDSdaxh0tUWLqEL" description="Conexión a la consulta 'data?apiKey=ak_TpUdzWDSdaxh0tUWLqEL' en el libro." type="5" refreshedVersion="8" background="1" saveData="1">
    <dbPr connection="Provider=Microsoft.Mashup.OleDb.1;Data Source=$Workbook$;Location=&quot;data?apiKey=ak_TpUdzWDSdaxh0tUWLqEL&quot;;Extended Properties=&quot;&quot;" command="SELECT * FROM [data?apiKey=ak_TpUdzWDSdaxh0tUWLqEL]"/>
  </connection>
  <connection id="2" xr16:uid="{9D4DB7F1-94A8-476E-9AFA-EB92DFA40779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  <connection id="3" xr16:uid="{DA8FB135-E69E-4AA7-AF40-80E16C62DB4B}" keepAlive="1" name="Consulta - Sheet1 (2)" description="Conexión a la consulta 'Sheet1 (2)' en el libro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4" xr16:uid="{C524E130-50BE-4DAE-9FFB-326E9F70E1EC}" keepAlive="1" name="Consulta - Sheet1 (3)" description="Conexión a la consulta 'Sheet1 (3)' en el libro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5" xr16:uid="{ABC1C3B5-E50D-4B8F-9D6F-DC75D263DBD8}" keepAlive="1" name="Consulta - Sheet1 (4)" description="Conexión a la consulta 'Sheet1 (4)' en el libro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6" xr16:uid="{6063E06A-86CF-420F-8837-2F40EE6DECDC}" keepAlive="1" name="Consulta - Sheet1 (5)" description="Conexión a la consulta 'Sheet1 (5)' en el libro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7" xr16:uid="{4BA7149F-0C7A-4CF5-9D88-842E33495C91}" keepAlive="1" name="Consulta - Sheet1 (6)" description="Conexión a la consulta 'Sheet1 (6)' en el libro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8" xr16:uid="{4C65563A-F1CE-41E7-9D19-F242C798E135}" keepAlive="1" name="Consulta - Sheet1 (7)" description="Conexión a la consulta 'Sheet1 (7)' en el libro." type="5" refreshedVersion="8" background="1" saveData="1">
    <dbPr connection="Provider=Microsoft.Mashup.OleDb.1;Data Source=$Workbook$;Location=&quot;Sheet1 (7)&quot;;Extended Properties=&quot;&quot;" command="SELECT * FROM [Sheet1 (7)]"/>
  </connection>
</connections>
</file>

<file path=xl/sharedStrings.xml><?xml version="1.0" encoding="utf-8"?>
<sst xmlns="http://schemas.openxmlformats.org/spreadsheetml/2006/main" count="957" uniqueCount="74">
  <si>
    <t>Date</t>
  </si>
  <si>
    <t>price - TZXD5</t>
  </si>
  <si>
    <t>price - T15D5</t>
  </si>
  <si>
    <t>irr - TZXD5</t>
  </si>
  <si>
    <t>irr - T15D5</t>
  </si>
  <si>
    <t>Country</t>
  </si>
  <si>
    <t>CER</t>
  </si>
  <si>
    <t>Argentina</t>
  </si>
  <si>
    <t>Fecha</t>
  </si>
  <si>
    <t>Fecha vencimiento</t>
  </si>
  <si>
    <t>Fecha de vencimiento CER</t>
  </si>
  <si>
    <t>Feriados</t>
  </si>
  <si>
    <t>CER hoy</t>
  </si>
  <si>
    <t>CER implícito</t>
  </si>
  <si>
    <t>Inflación implícita</t>
  </si>
  <si>
    <t>price - TZX26</t>
  </si>
  <si>
    <t>price - TZXM6</t>
  </si>
  <si>
    <t>price - TZXO6</t>
  </si>
  <si>
    <t>price - T30J6</t>
  </si>
  <si>
    <t>price - TTM26</t>
  </si>
  <si>
    <t>price - S30O6</t>
  </si>
  <si>
    <t>irr - TZX26</t>
  </si>
  <si>
    <t>irr - TZXM6</t>
  </si>
  <si>
    <t>irr - TZXO6</t>
  </si>
  <si>
    <t>irr - T30J6</t>
  </si>
  <si>
    <t>irr - TTM26</t>
  </si>
  <si>
    <t>irr - S30O6</t>
  </si>
  <si>
    <t>price - TZXD6</t>
  </si>
  <si>
    <t>price - TTD26</t>
  </si>
  <si>
    <t>irr - TZXD6</t>
  </si>
  <si>
    <t>irr - TTD26</t>
  </si>
  <si>
    <t>T30J6 - TZX26</t>
  </si>
  <si>
    <t>S30O6 - TZXO6</t>
  </si>
  <si>
    <t>Inflación BE promedio</t>
  </si>
  <si>
    <t>Mes</t>
  </si>
  <si>
    <t>Inflación</t>
  </si>
  <si>
    <t>Inflación BE</t>
  </si>
  <si>
    <t>Inflación observada</t>
  </si>
  <si>
    <t>Inflación REM</t>
  </si>
  <si>
    <t>Inflación  Eco Go</t>
  </si>
  <si>
    <t>price - S29Y6</t>
  </si>
  <si>
    <t>price - X29Y6</t>
  </si>
  <si>
    <t>irr - S29Y6</t>
  </si>
  <si>
    <t>irr - X29Y6</t>
  </si>
  <si>
    <t>S29Y6 - X29Y6</t>
  </si>
  <si>
    <t>Implícita marzo</t>
  </si>
  <si>
    <t>Implícita abril</t>
  </si>
  <si>
    <t>Implícita octubre</t>
  </si>
  <si>
    <t>price - TZXM7</t>
  </si>
  <si>
    <t>price - T30A7</t>
  </si>
  <si>
    <t>price - S17A6</t>
  </si>
  <si>
    <t>irr - TZXM7</t>
  </si>
  <si>
    <t>irr - T30A7</t>
  </si>
  <si>
    <t>irr - S17A6</t>
  </si>
  <si>
    <t>T30A7 - TZXM7</t>
  </si>
  <si>
    <t>Implícita febrero</t>
  </si>
  <si>
    <t>Implícita febrero 27</t>
  </si>
  <si>
    <t>Promedio</t>
  </si>
  <si>
    <t>Inflación anual</t>
  </si>
  <si>
    <t>Último CER</t>
  </si>
  <si>
    <t>S15Y6 con X15Y6</t>
  </si>
  <si>
    <t>S31L6 con X31L6</t>
  </si>
  <si>
    <t>S30S6 con X30S6</t>
  </si>
  <si>
    <t>S30N6 con X30N6</t>
  </si>
  <si>
    <t>S15Y6 - X15Y6</t>
  </si>
  <si>
    <t>S31L6 - X31L6</t>
  </si>
  <si>
    <t>S30S6 - X30S6</t>
  </si>
  <si>
    <t>S30N6 - X30N6</t>
  </si>
  <si>
    <t>Inflación Consensus</t>
  </si>
  <si>
    <t>al 16/3</t>
  </si>
  <si>
    <t>al 1/3</t>
  </si>
  <si>
    <t>al 17/3</t>
  </si>
  <si>
    <t>al 15/2</t>
  </si>
  <si>
    <t>S17A6 - TZXM6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</si>
</sst>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6" x14ac:knownFonts="1">
    <font>
      <sz val="11"/>
      <color theme="1"/>
      <name val="HK Grotesk"/>
      <family val="2"/>
      <scheme val="minor"/>
    </font>
    <font>
      <sz val="11"/>
      <color theme="1"/>
      <name val="HK Grotesk"/>
      <family val="2"/>
      <scheme val="minor"/>
    </font>
    <font>
      <sz val="11"/>
      <color rgb="FFFF0000"/>
      <name val="HK Grotesk"/>
      <family val="2"/>
      <scheme val="minor"/>
    </font>
    <font>
      <sz val="11"/>
      <color theme="0"/>
      <name val="HK Grotesk"/>
      <family val="2"/>
      <scheme val="minor"/>
    </font>
    <font>
      <sz val="11"/>
      <color theme="9"/>
      <name val="HK Grotesk"/>
      <family val="2"/>
      <scheme val="minor"/>
    </font>
    <font>
      <sz val="11"/>
      <name val="HK Grotesk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0" fillId="2" borderId="0" xfId="0" applyNumberFormat="1" applyFill="1" applyAlignment="1">
      <alignment horizontal="center" vertical="center"/>
    </xf>
    <xf numFmtId="0" fontId="0" fillId="0" borderId="1" xfId="0" applyBorder="1"/>
    <xf numFmtId="10" fontId="0" fillId="0" borderId="0" xfId="1" applyNumberFormat="1" applyFont="1"/>
    <xf numFmtId="0" fontId="3" fillId="3" borderId="1" xfId="0" applyFont="1" applyFill="1" applyBorder="1"/>
    <xf numFmtId="0" fontId="3" fillId="4" borderId="1" xfId="0" applyFont="1" applyFill="1" applyBorder="1"/>
    <xf numFmtId="17" fontId="0" fillId="0" borderId="0" xfId="0" applyNumberFormat="1"/>
    <xf numFmtId="1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4" fontId="0" fillId="0" borderId="1" xfId="1" applyNumberFormat="1" applyFont="1" applyBorder="1"/>
    <xf numFmtId="164" fontId="0" fillId="0" borderId="1" xfId="0" applyNumberFormat="1" applyBorder="1"/>
    <xf numFmtId="10" fontId="0" fillId="0" borderId="1" xfId="0" applyNumberFormat="1" applyBorder="1"/>
    <xf numFmtId="164" fontId="4" fillId="0" borderId="1" xfId="0" applyNumberFormat="1" applyFont="1" applyBorder="1"/>
    <xf numFmtId="164" fontId="4" fillId="0" borderId="1" xfId="1" applyNumberFormat="1" applyFont="1" applyBorder="1"/>
    <xf numFmtId="0" fontId="4" fillId="0" borderId="1" xfId="0" applyFont="1" applyBorder="1"/>
    <xf numFmtId="14" fontId="0" fillId="2" borderId="0" xfId="0" applyNumberFormat="1" applyFill="1"/>
    <xf numFmtId="0" fontId="0" fillId="2" borderId="0" xfId="0" applyFill="1"/>
    <xf numFmtId="10" fontId="4" fillId="0" borderId="1" xfId="0" applyNumberFormat="1" applyFont="1" applyBorder="1"/>
    <xf numFmtId="164" fontId="0" fillId="0" borderId="0" xfId="1" applyNumberFormat="1" applyFont="1"/>
    <xf numFmtId="10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9" fontId="0" fillId="0" borderId="0" xfId="1" applyFont="1"/>
    <xf numFmtId="9" fontId="0" fillId="0" borderId="0" xfId="0" applyNumberFormat="1"/>
    <xf numFmtId="10" fontId="0" fillId="0" borderId="1" xfId="0" applyNumberFormat="1" applyBorder="1" applyAlignment="1">
      <alignment horizontal="center" vertical="center"/>
    </xf>
    <xf numFmtId="17" fontId="0" fillId="0" borderId="5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0" fontId="2" fillId="0" borderId="1" xfId="1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164" fontId="0" fillId="0" borderId="0" xfId="0" applyNumberFormat="1"/>
    <xf numFmtId="164" fontId="2" fillId="0" borderId="1" xfId="0" applyNumberFormat="1" applyFont="1" applyBorder="1"/>
    <xf numFmtId="14" fontId="3" fillId="4" borderId="2" xfId="0" applyNumberFormat="1" applyFont="1" applyFill="1" applyBorder="1" applyAlignment="1">
      <alignment horizontal="center"/>
    </xf>
    <xf numFmtId="14" fontId="3" fillId="4" borderId="3" xfId="0" applyNumberFormat="1" applyFont="1" applyFill="1" applyBorder="1" applyAlignment="1">
      <alignment horizontal="center"/>
    </xf>
    <xf numFmtId="14" fontId="3" fillId="4" borderId="4" xfId="0" applyNumberFormat="1" applyFont="1" applyFill="1" applyBorder="1" applyAlignment="1">
      <alignment horizontal="center"/>
    </xf>
    <xf numFmtId="14" fontId="3" fillId="3" borderId="3" xfId="0" applyNumberFormat="1" applyFont="1" applyFill="1" applyBorder="1" applyAlignment="1">
      <alignment horizontal="center"/>
    </xf>
    <xf numFmtId="14" fontId="3" fillId="3" borderId="4" xfId="0" applyNumberFormat="1" applyFont="1" applyFill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7">
    <cellStyle name="Millares 2" xfId="2" xr:uid="{13538BB0-D456-4F1E-8932-A5DE1BB04A7F}"/>
    <cellStyle name="Millares 2 2" xfId="3" xr:uid="{4FAEE580-4E8C-44F2-AED0-A91F404DD583}"/>
    <cellStyle name="Millares 3" xfId="4" xr:uid="{4F540D52-D81C-44B5-BD2D-E5F41D5FBD79}"/>
    <cellStyle name="Millares 4" xfId="5" xr:uid="{C9931BB2-EDDF-453D-9A05-04629C43EA56}"/>
    <cellStyle name="Millares 5" xfId="6" xr:uid="{61359F9B-F875-4360-906A-835341F694CA}"/>
    <cellStyle name="Normal" xfId="0" builtinId="0"/>
    <cellStyle name="Porcentaje" xfId="1" builtinId="5"/>
  </cellStyles>
  <dxfs count="3">
    <dxf>
      <numFmt numFmtId="19" formatCode="d/m/yyyy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8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chartsheet" Target="chartsheets/sheet1.xml"/><Relationship Id="rId12" Type="http://schemas.openxmlformats.org/officeDocument/2006/relationships/chartsheet" Target="chartsheets/sheet5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chartsheet" Target="chartsheets/sheet3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2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s-AR" sz="1680">
                <a:solidFill>
                  <a:sysClr val="windowText" lastClr="000000"/>
                </a:solidFill>
                <a:latin typeface="+mj-lt"/>
              </a:rPr>
              <a:t>Inflación implícita</a:t>
            </a:r>
            <a:r>
              <a:rPr lang="es-AR" sz="1680" baseline="0">
                <a:solidFill>
                  <a:sysClr val="windowText" lastClr="000000"/>
                </a:solidFill>
                <a:latin typeface="+mj-lt"/>
              </a:rPr>
              <a:t> futura</a:t>
            </a:r>
          </a:p>
          <a:p>
            <a:pPr algn="l">
              <a:defRPr>
                <a:latin typeface="+mj-lt"/>
              </a:defRPr>
            </a:pPr>
            <a:r>
              <a:rPr lang="es-AR" baseline="0">
                <a:latin typeface="+mj-lt"/>
              </a:rPr>
              <a:t>(AL 16-3-26)</a:t>
            </a:r>
            <a:endParaRPr lang="es-AR">
              <a:latin typeface="+mj-lt"/>
            </a:endParaRPr>
          </a:p>
        </c:rich>
      </c:tx>
      <c:layout>
        <c:manualLayout>
          <c:xMode val="edge"/>
          <c:yMode val="edge"/>
          <c:x val="1.0101404489250194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6018345153528803E-2"/>
          <c:y val="0.14388556042381043"/>
          <c:w val="0.94147131613061763"/>
          <c:h val="0.79518892552593079"/>
        </c:manualLayout>
      </c:layout>
      <c:lineChart>
        <c:grouping val="standard"/>
        <c:varyColors val="0"/>
        <c:ser>
          <c:idx val="0"/>
          <c:order val="0"/>
          <c:tx>
            <c:v>Inflación mensual breakeven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'BE Hoy'!$A$16:$A$27</c:f>
              <c:numCache>
                <c:formatCode>mmm\-yy</c:formatCode>
                <c:ptCount val="12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  <c:pt idx="6">
                  <c:v>46235</c:v>
                </c:pt>
                <c:pt idx="7">
                  <c:v>46266</c:v>
                </c:pt>
                <c:pt idx="8">
                  <c:v>46296</c:v>
                </c:pt>
                <c:pt idx="9">
                  <c:v>46327</c:v>
                </c:pt>
                <c:pt idx="10">
                  <c:v>46357</c:v>
                </c:pt>
                <c:pt idx="11">
                  <c:v>46388</c:v>
                </c:pt>
              </c:numCache>
            </c:numRef>
          </c:cat>
          <c:val>
            <c:numRef>
              <c:f>'BE Hoy'!$D$16:$D$27</c:f>
              <c:numCache>
                <c:formatCode>0.00%</c:formatCode>
                <c:ptCount val="12"/>
                <c:pt idx="0" formatCode="0.0%">
                  <c:v>2.8963190726726928E-2</c:v>
                </c:pt>
                <c:pt idx="1">
                  <c:v>2.942211087454516E-2</c:v>
                </c:pt>
                <c:pt idx="2">
                  <c:v>2.0850698235907572E-2</c:v>
                </c:pt>
                <c:pt idx="3">
                  <c:v>2.1269649301103533E-2</c:v>
                </c:pt>
                <c:pt idx="4">
                  <c:v>1.8559289109658428E-2</c:v>
                </c:pt>
                <c:pt idx="5">
                  <c:v>1.8559289109658428E-2</c:v>
                </c:pt>
                <c:pt idx="6">
                  <c:v>1.7331017525218595E-2</c:v>
                </c:pt>
                <c:pt idx="7">
                  <c:v>1.8610914712831716E-2</c:v>
                </c:pt>
                <c:pt idx="8">
                  <c:v>1.1926431748780386E-2</c:v>
                </c:pt>
                <c:pt idx="9">
                  <c:v>1.1926431748780386E-2</c:v>
                </c:pt>
                <c:pt idx="10">
                  <c:v>1.1926431748780386E-2</c:v>
                </c:pt>
                <c:pt idx="11">
                  <c:v>1.1926431748780386E-2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3B-4677-ABB3-C85015EA0B51}"/>
            </c:ext>
          </c:extLst>
        </c:ser>
        <c:ser>
          <c:idx val="1"/>
          <c:order val="1"/>
          <c:tx>
            <c:v>Promedio abr-dic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C9-4498-842A-B57CA30574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'BE Hoy'!$A$16:$A$27</c:f>
              <c:numCache>
                <c:formatCode>mmm\-yy</c:formatCode>
                <c:ptCount val="12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  <c:pt idx="6">
                  <c:v>46235</c:v>
                </c:pt>
                <c:pt idx="7">
                  <c:v>46266</c:v>
                </c:pt>
                <c:pt idx="8">
                  <c:v>46296</c:v>
                </c:pt>
                <c:pt idx="9">
                  <c:v>46327</c:v>
                </c:pt>
                <c:pt idx="10">
                  <c:v>46357</c:v>
                </c:pt>
                <c:pt idx="11">
                  <c:v>46388</c:v>
                </c:pt>
              </c:numCache>
            </c:numRef>
          </c:cat>
          <c:val>
            <c:numRef>
              <c:f>'BE Hoy'!$K$16:$K$27</c:f>
              <c:numCache>
                <c:formatCode>General</c:formatCode>
                <c:ptCount val="12"/>
                <c:pt idx="2" formatCode="0.0%">
                  <c:v>1.6766930532203794E-2</c:v>
                </c:pt>
                <c:pt idx="3" formatCode="0.0%">
                  <c:v>1.6766930532203794E-2</c:v>
                </c:pt>
                <c:pt idx="4" formatCode="0.0%">
                  <c:v>1.6766930532203794E-2</c:v>
                </c:pt>
                <c:pt idx="5" formatCode="0.0%">
                  <c:v>1.6766930532203794E-2</c:v>
                </c:pt>
                <c:pt idx="6" formatCode="0.0%">
                  <c:v>1.6766930532203794E-2</c:v>
                </c:pt>
                <c:pt idx="7" formatCode="0.0%">
                  <c:v>1.6766930532203794E-2</c:v>
                </c:pt>
                <c:pt idx="8" formatCode="0.0%">
                  <c:v>1.6766930532203794E-2</c:v>
                </c:pt>
                <c:pt idx="9" formatCode="0.0%">
                  <c:v>1.6766930532203794E-2</c:v>
                </c:pt>
                <c:pt idx="10" formatCode="0.0%">
                  <c:v>1.6766930532203794E-2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C9-4498-842A-B57CA30574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79016303"/>
        <c:axId val="1579014863"/>
      </c:lineChart>
      <c:dateAx>
        <c:axId val="1579016303"/>
        <c:scaling>
          <c:orientation val="minMax"/>
          <c:min val="46082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79014863"/>
        <c:crosses val="autoZero"/>
        <c:auto val="1"/>
        <c:lblOffset val="100"/>
        <c:baseTimeUnit val="months"/>
      </c:dateAx>
      <c:valAx>
        <c:axId val="157901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7901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2046984340741574"/>
          <c:y val="8.4095954178231597E-2"/>
          <c:w val="0.55906020555474178"/>
          <c:h val="5.04147367041941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80" b="0" i="0" u="none" strike="noStrike" kern="1200" spc="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r>
              <a:rPr lang="en-US" sz="1800">
                <a:solidFill>
                  <a:sysClr val="windowText" lastClr="000000"/>
                </a:solidFill>
                <a:latin typeface="+mj-lt"/>
              </a:rPr>
              <a:t>Evolución</a:t>
            </a:r>
            <a:r>
              <a:rPr lang="en-US" sz="1800" baseline="0">
                <a:solidFill>
                  <a:sysClr val="windowText" lastClr="000000"/>
                </a:solidFill>
                <a:latin typeface="+mj-lt"/>
              </a:rPr>
              <a:t> de la inflación anual implícita de 2026</a:t>
            </a:r>
            <a:endParaRPr lang="en-US" sz="1800">
              <a:solidFill>
                <a:sysClr val="windowText" lastClr="000000"/>
              </a:solidFill>
              <a:latin typeface="+mj-lt"/>
            </a:endParaRPr>
          </a:p>
          <a:p>
            <a:pPr algn="l">
              <a:defRPr sz="1680">
                <a:solidFill>
                  <a:sysClr val="windowText" lastClr="000000"/>
                </a:solidFill>
                <a:latin typeface="+mj-lt"/>
              </a:defRPr>
            </a:pPr>
            <a:r>
              <a:rPr lang="en-US" sz="1400">
                <a:solidFill>
                  <a:schemeClr val="bg1">
                    <a:lumMod val="65000"/>
                  </a:schemeClr>
                </a:solidFill>
                <a:latin typeface="+mj-lt"/>
              </a:rPr>
              <a:t>(AL</a:t>
            </a:r>
            <a:r>
              <a:rPr lang="en-US" sz="1400" baseline="0">
                <a:solidFill>
                  <a:schemeClr val="bg1">
                    <a:lumMod val="65000"/>
                  </a:schemeClr>
                </a:solidFill>
                <a:latin typeface="+mj-lt"/>
              </a:rPr>
              <a:t> 2-MAR-26)</a:t>
            </a:r>
            <a:endParaRPr lang="en-US" sz="1400">
              <a:solidFill>
                <a:schemeClr val="bg1">
                  <a:lumMod val="65000"/>
                </a:schemeClr>
              </a:solidFill>
              <a:latin typeface="+mj-lt"/>
            </a:endParaRPr>
          </a:p>
        </c:rich>
      </c:tx>
      <c:layout>
        <c:manualLayout>
          <c:xMode val="edge"/>
          <c:yMode val="edge"/>
          <c:x val="7.2939662734881558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80" b="0" i="0" u="none" strike="noStrike" kern="1200" spc="0" baseline="0">
              <a:solidFill>
                <a:sysClr val="windowText" lastClr="000000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502576393608579E-2"/>
          <c:y val="0.10924956422737507"/>
          <c:w val="0.8384008767930613"/>
          <c:h val="0.6825265755829919"/>
        </c:manualLayout>
      </c:layout>
      <c:lineChart>
        <c:grouping val="standard"/>
        <c:varyColors val="0"/>
        <c:ser>
          <c:idx val="0"/>
          <c:order val="0"/>
          <c:tx>
            <c:strRef>
              <c:f>'Serie infla anual'!$P$1</c:f>
              <c:strCache>
                <c:ptCount val="1"/>
                <c:pt idx="0">
                  <c:v>Inflación anual</c:v>
                </c:pt>
              </c:strCache>
            </c:strRef>
          </c:tx>
          <c:spPr>
            <a:ln w="412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1C2-463E-AEEA-B69DD0E0B9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'Serie infla anual'!$A$2:$A$53</c:f>
              <c:numCache>
                <c:formatCode>m/d/yyyy</c:formatCode>
                <c:ptCount val="52"/>
                <c:pt idx="0">
                  <c:v>46017</c:v>
                </c:pt>
                <c:pt idx="1">
                  <c:v>46020</c:v>
                </c:pt>
                <c:pt idx="2">
                  <c:v>46021</c:v>
                </c:pt>
                <c:pt idx="3">
                  <c:v>46024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46034</c:v>
                </c:pt>
                <c:pt idx="10">
                  <c:v>46035</c:v>
                </c:pt>
                <c:pt idx="11">
                  <c:v>46036</c:v>
                </c:pt>
                <c:pt idx="12">
                  <c:v>46037</c:v>
                </c:pt>
                <c:pt idx="13">
                  <c:v>46038</c:v>
                </c:pt>
                <c:pt idx="14">
                  <c:v>46041</c:v>
                </c:pt>
                <c:pt idx="15">
                  <c:v>46042</c:v>
                </c:pt>
                <c:pt idx="16">
                  <c:v>46043</c:v>
                </c:pt>
                <c:pt idx="17">
                  <c:v>46044</c:v>
                </c:pt>
                <c:pt idx="18">
                  <c:v>46045</c:v>
                </c:pt>
                <c:pt idx="19">
                  <c:v>46048</c:v>
                </c:pt>
                <c:pt idx="20">
                  <c:v>46049</c:v>
                </c:pt>
                <c:pt idx="21">
                  <c:v>46050</c:v>
                </c:pt>
                <c:pt idx="22">
                  <c:v>46051</c:v>
                </c:pt>
                <c:pt idx="23">
                  <c:v>46052</c:v>
                </c:pt>
                <c:pt idx="24">
                  <c:v>46055</c:v>
                </c:pt>
                <c:pt idx="25">
                  <c:v>46056</c:v>
                </c:pt>
                <c:pt idx="26">
                  <c:v>46057</c:v>
                </c:pt>
                <c:pt idx="27">
                  <c:v>46058</c:v>
                </c:pt>
                <c:pt idx="28">
                  <c:v>46059</c:v>
                </c:pt>
                <c:pt idx="29">
                  <c:v>46062</c:v>
                </c:pt>
                <c:pt idx="30">
                  <c:v>46063</c:v>
                </c:pt>
                <c:pt idx="31">
                  <c:v>46064</c:v>
                </c:pt>
                <c:pt idx="32">
                  <c:v>46065</c:v>
                </c:pt>
                <c:pt idx="33">
                  <c:v>46066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</c:numCache>
            </c:numRef>
          </c:cat>
          <c:val>
            <c:numRef>
              <c:f>'Serie infla anual'!$P$2:$P$53</c:f>
              <c:numCache>
                <c:formatCode>0.00%</c:formatCode>
                <c:ptCount val="52"/>
                <c:pt idx="0">
                  <c:v>0.22536319953867912</c:v>
                </c:pt>
                <c:pt idx="1">
                  <c:v>0.22701042954734207</c:v>
                </c:pt>
                <c:pt idx="2">
                  <c:v>0.22352989293360115</c:v>
                </c:pt>
                <c:pt idx="3">
                  <c:v>0.23257139356839374</c:v>
                </c:pt>
                <c:pt idx="4">
                  <c:v>0.23449776457088856</c:v>
                </c:pt>
                <c:pt idx="5">
                  <c:v>0.23553664856440459</c:v>
                </c:pt>
                <c:pt idx="6">
                  <c:v>0.23524065329745092</c:v>
                </c:pt>
                <c:pt idx="7">
                  <c:v>0.23611755748407237</c:v>
                </c:pt>
                <c:pt idx="8">
                  <c:v>0.24357805185791048</c:v>
                </c:pt>
                <c:pt idx="9">
                  <c:v>0.24304067892279191</c:v>
                </c:pt>
                <c:pt idx="10">
                  <c:v>0.24848237391043493</c:v>
                </c:pt>
                <c:pt idx="11">
                  <c:v>0.24721606426056275</c:v>
                </c:pt>
                <c:pt idx="12">
                  <c:v>0.23114064663226408</c:v>
                </c:pt>
                <c:pt idx="13">
                  <c:v>0.22995039972403863</c:v>
                </c:pt>
                <c:pt idx="14">
                  <c:v>0.21754744358728861</c:v>
                </c:pt>
                <c:pt idx="15">
                  <c:v>0.21354084032846421</c:v>
                </c:pt>
                <c:pt idx="16">
                  <c:v>0.21646147707287877</c:v>
                </c:pt>
                <c:pt idx="17">
                  <c:v>0.21999977356832146</c:v>
                </c:pt>
                <c:pt idx="18">
                  <c:v>0.22301768579055303</c:v>
                </c:pt>
                <c:pt idx="19">
                  <c:v>0.22289274966260031</c:v>
                </c:pt>
                <c:pt idx="20">
                  <c:v>0.22031843712580712</c:v>
                </c:pt>
                <c:pt idx="21">
                  <c:v>0.21910558825822868</c:v>
                </c:pt>
                <c:pt idx="22">
                  <c:v>0.21902403493938172</c:v>
                </c:pt>
                <c:pt idx="23">
                  <c:v>0.22265955356504952</c:v>
                </c:pt>
                <c:pt idx="24">
                  <c:v>0.2209023842615343</c:v>
                </c:pt>
                <c:pt idx="25">
                  <c:v>0.22244741192589612</c:v>
                </c:pt>
                <c:pt idx="26">
                  <c:v>0.22811707218056054</c:v>
                </c:pt>
                <c:pt idx="27">
                  <c:v>0.23774447301003487</c:v>
                </c:pt>
                <c:pt idx="28">
                  <c:v>0.24144545297531983</c:v>
                </c:pt>
                <c:pt idx="29">
                  <c:v>0.24265512949233181</c:v>
                </c:pt>
                <c:pt idx="30">
                  <c:v>0.24619911693081975</c:v>
                </c:pt>
                <c:pt idx="31">
                  <c:v>0.24341289904894703</c:v>
                </c:pt>
                <c:pt idx="32">
                  <c:v>0.22926558219874327</c:v>
                </c:pt>
                <c:pt idx="33">
                  <c:v>0.23334468182553691</c:v>
                </c:pt>
                <c:pt idx="34">
                  <c:v>0.23227306561667138</c:v>
                </c:pt>
                <c:pt idx="35">
                  <c:v>0.23402822486729513</c:v>
                </c:pt>
                <c:pt idx="36">
                  <c:v>0.23276058416656675</c:v>
                </c:pt>
                <c:pt idx="37">
                  <c:v>0.23022030050099707</c:v>
                </c:pt>
                <c:pt idx="38">
                  <c:v>0.22245840705635378</c:v>
                </c:pt>
                <c:pt idx="39">
                  <c:v>0.22094685968714689</c:v>
                </c:pt>
                <c:pt idx="40">
                  <c:v>0.22117470271249129</c:v>
                </c:pt>
                <c:pt idx="41">
                  <c:v>0.22776145408756077</c:v>
                </c:pt>
                <c:pt idx="42">
                  <c:v>0.22717573726235929</c:v>
                </c:pt>
                <c:pt idx="43">
                  <c:v>0.23047434934237288</c:v>
                </c:pt>
                <c:pt idx="44">
                  <c:v>0.23490148113193454</c:v>
                </c:pt>
                <c:pt idx="45">
                  <c:v>0.23802576742673853</c:v>
                </c:pt>
                <c:pt idx="46">
                  <c:v>0.24113557675879882</c:v>
                </c:pt>
                <c:pt idx="47">
                  <c:v>0.24034667441942092</c:v>
                </c:pt>
                <c:pt idx="48">
                  <c:v>0.23776852114546054</c:v>
                </c:pt>
                <c:pt idx="49">
                  <c:v>0.23239884452251158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79-4532-B747-A6B46430A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3722847"/>
        <c:axId val="1813718527"/>
      </c:lineChart>
      <c:dateAx>
        <c:axId val="1813722847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13718527"/>
        <c:crosses val="autoZero"/>
        <c:auto val="1"/>
        <c:lblOffset val="100"/>
        <c:baseTimeUnit val="days"/>
      </c:dateAx>
      <c:valAx>
        <c:axId val="1813718527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13722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80" b="0" i="0" u="none" strike="noStrike" kern="1200" spc="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r>
              <a:rPr lang="es-AR" sz="1680">
                <a:solidFill>
                  <a:sysClr val="windowText" lastClr="000000"/>
                </a:solidFill>
                <a:latin typeface="+mj-lt"/>
              </a:rPr>
              <a:t>Inflación mensual</a:t>
            </a:r>
            <a:r>
              <a:rPr lang="es-AR" sz="1680" baseline="0">
                <a:solidFill>
                  <a:sysClr val="windowText" lastClr="000000"/>
                </a:solidFill>
                <a:latin typeface="+mj-lt"/>
              </a:rPr>
              <a:t> </a:t>
            </a:r>
            <a:r>
              <a:rPr lang="es-AR" sz="1680">
                <a:solidFill>
                  <a:sysClr val="windowText" lastClr="000000"/>
                </a:solidFill>
                <a:latin typeface="+mj-lt"/>
              </a:rPr>
              <a:t>Break-even</a:t>
            </a:r>
          </a:p>
          <a:p>
            <a:pPr algn="l">
              <a:defRPr sz="1680">
                <a:solidFill>
                  <a:sysClr val="windowText" lastClr="000000"/>
                </a:solidFill>
                <a:latin typeface="+mj-lt"/>
              </a:defRPr>
            </a:pPr>
            <a:r>
              <a:rPr lang="es-AR" sz="1400">
                <a:solidFill>
                  <a:schemeClr val="bg1">
                    <a:lumMod val="65000"/>
                  </a:schemeClr>
                </a:solidFill>
                <a:latin typeface="+mj-lt"/>
              </a:rPr>
              <a:t>(AL</a:t>
            </a:r>
            <a:r>
              <a:rPr lang="es-AR" sz="1400" baseline="0">
                <a:solidFill>
                  <a:schemeClr val="bg1">
                    <a:lumMod val="65000"/>
                  </a:schemeClr>
                </a:solidFill>
                <a:latin typeface="+mj-lt"/>
              </a:rPr>
              <a:t> 17-3-2026)</a:t>
            </a:r>
            <a:endParaRPr lang="es-AR" sz="1400">
              <a:solidFill>
                <a:schemeClr val="bg1">
                  <a:lumMod val="65000"/>
                </a:schemeClr>
              </a:solidFill>
              <a:latin typeface="+mj-lt"/>
            </a:endParaRPr>
          </a:p>
        </c:rich>
      </c:tx>
      <c:layout>
        <c:manualLayout>
          <c:xMode val="edge"/>
          <c:yMode val="edge"/>
          <c:x val="3.1331578657444657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80" b="0" i="0" u="none" strike="noStrike" kern="1200" spc="0" baseline="0">
              <a:solidFill>
                <a:sysClr val="windowText" lastClr="000000"/>
              </a:solidFill>
              <a:latin typeface="+mj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5.6145226192189777E-2"/>
          <c:y val="0.15358235851355803"/>
          <c:w val="0.92907570962782182"/>
          <c:h val="0.67939018713602572"/>
        </c:manualLayout>
      </c:layout>
      <c:lineChart>
        <c:grouping val="standard"/>
        <c:varyColors val="0"/>
        <c:ser>
          <c:idx val="1"/>
          <c:order val="0"/>
          <c:tx>
            <c:strRef>
              <c:f>'BE Hoy'!$D$1</c:f>
              <c:strCache>
                <c:ptCount val="1"/>
                <c:pt idx="0">
                  <c:v>Inflación BE</c:v>
                </c:pt>
              </c:strCache>
            </c:strRef>
          </c:tx>
          <c:spPr>
            <a:ln w="4762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'BE Hoy'!$A$2:$A$27</c:f>
              <c:numCache>
                <c:formatCode>mmm\-yy</c:formatCode>
                <c:ptCount val="26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  <c:pt idx="15">
                  <c:v>46082</c:v>
                </c:pt>
                <c:pt idx="16">
                  <c:v>46113</c:v>
                </c:pt>
                <c:pt idx="17">
                  <c:v>46143</c:v>
                </c:pt>
                <c:pt idx="18">
                  <c:v>46174</c:v>
                </c:pt>
                <c:pt idx="19">
                  <c:v>46204</c:v>
                </c:pt>
                <c:pt idx="20">
                  <c:v>46235</c:v>
                </c:pt>
                <c:pt idx="21">
                  <c:v>46266</c:v>
                </c:pt>
                <c:pt idx="22">
                  <c:v>46296</c:v>
                </c:pt>
                <c:pt idx="23">
                  <c:v>46327</c:v>
                </c:pt>
                <c:pt idx="24">
                  <c:v>46357</c:v>
                </c:pt>
                <c:pt idx="25">
                  <c:v>46388</c:v>
                </c:pt>
              </c:numCache>
            </c:numRef>
          </c:cat>
          <c:val>
            <c:numRef>
              <c:f>'BE Hoy'!$D$2:$D$27</c:f>
              <c:numCache>
                <c:formatCode>General</c:formatCode>
                <c:ptCount val="26"/>
                <c:pt idx="14" formatCode="0.0%">
                  <c:v>2.8963190726726928E-2</c:v>
                </c:pt>
                <c:pt idx="15" formatCode="0.00%">
                  <c:v>2.942211087454516E-2</c:v>
                </c:pt>
                <c:pt idx="16" formatCode="0.00%">
                  <c:v>2.0850698235907572E-2</c:v>
                </c:pt>
                <c:pt idx="17" formatCode="0.00%">
                  <c:v>2.1269649301103533E-2</c:v>
                </c:pt>
                <c:pt idx="18" formatCode="0.00%">
                  <c:v>1.8559289109658428E-2</c:v>
                </c:pt>
                <c:pt idx="19" formatCode="0.00%">
                  <c:v>1.8559289109658428E-2</c:v>
                </c:pt>
                <c:pt idx="20" formatCode="0.00%">
                  <c:v>1.7331017525218595E-2</c:v>
                </c:pt>
                <c:pt idx="21" formatCode="0.00%">
                  <c:v>1.8610914712831716E-2</c:v>
                </c:pt>
                <c:pt idx="22" formatCode="0.00%">
                  <c:v>1.1926431748780386E-2</c:v>
                </c:pt>
                <c:pt idx="23" formatCode="0.00%">
                  <c:v>1.1926431748780386E-2</c:v>
                </c:pt>
                <c:pt idx="24" formatCode="0.00%">
                  <c:v>1.1926431748780386E-2</c:v>
                </c:pt>
                <c:pt idx="25" formatCode="0.00%">
                  <c:v>1.1926431748780386E-2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50-433D-A0BB-A268F8E33B6A}"/>
            </c:ext>
          </c:extLst>
        </c:ser>
        <c:ser>
          <c:idx val="2"/>
          <c:order val="1"/>
          <c:tx>
            <c:strRef>
              <c:f>'BE Hoy'!$E$1</c:f>
              <c:strCache>
                <c:ptCount val="1"/>
                <c:pt idx="0">
                  <c:v>Inflación REM</c:v>
                </c:pt>
              </c:strCache>
            </c:strRef>
          </c:tx>
          <c:spPr>
            <a:ln w="4762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'BE Hoy'!$A$2:$A$27</c:f>
              <c:numCache>
                <c:formatCode>mmm\-yy</c:formatCode>
                <c:ptCount val="26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  <c:pt idx="15">
                  <c:v>46082</c:v>
                </c:pt>
                <c:pt idx="16">
                  <c:v>46113</c:v>
                </c:pt>
                <c:pt idx="17">
                  <c:v>46143</c:v>
                </c:pt>
                <c:pt idx="18">
                  <c:v>46174</c:v>
                </c:pt>
                <c:pt idx="19">
                  <c:v>46204</c:v>
                </c:pt>
                <c:pt idx="20">
                  <c:v>46235</c:v>
                </c:pt>
                <c:pt idx="21">
                  <c:v>46266</c:v>
                </c:pt>
                <c:pt idx="22">
                  <c:v>46296</c:v>
                </c:pt>
                <c:pt idx="23">
                  <c:v>46327</c:v>
                </c:pt>
                <c:pt idx="24">
                  <c:v>46357</c:v>
                </c:pt>
                <c:pt idx="25">
                  <c:v>46388</c:v>
                </c:pt>
              </c:numCache>
            </c:numRef>
          </c:cat>
          <c:val>
            <c:numRef>
              <c:f>'BE Hoy'!$E$2:$E$27</c:f>
              <c:numCache>
                <c:formatCode>General</c:formatCode>
                <c:ptCount val="26"/>
                <c:pt idx="14" formatCode="0.0%">
                  <c:v>2.8963190726726928E-2</c:v>
                </c:pt>
                <c:pt idx="15" formatCode="0.0%">
                  <c:v>2.5000000000000001E-2</c:v>
                </c:pt>
                <c:pt idx="16" formatCode="0.0%">
                  <c:v>2.1999999999999999E-2</c:v>
                </c:pt>
                <c:pt idx="17" formatCode="0.0%">
                  <c:v>1.9E-2</c:v>
                </c:pt>
                <c:pt idx="18" formatCode="0.0%">
                  <c:v>1.7999999999999999E-2</c:v>
                </c:pt>
                <c:pt idx="19" formatCode="0.0%">
                  <c:v>1.7000000000000001E-2</c:v>
                </c:pt>
                <c:pt idx="20" formatCode="0.0%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0-433D-A0BB-A268F8E33B6A}"/>
            </c:ext>
          </c:extLst>
        </c:ser>
        <c:ser>
          <c:idx val="3"/>
          <c:order val="2"/>
          <c:tx>
            <c:strRef>
              <c:f>'BE Hoy'!$F$1</c:f>
              <c:strCache>
                <c:ptCount val="1"/>
                <c:pt idx="0">
                  <c:v>Inflación  Eco Go</c:v>
                </c:pt>
              </c:strCache>
            </c:strRef>
          </c:tx>
          <c:spPr>
            <a:ln w="4762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'BE Hoy'!$A$2:$A$27</c:f>
              <c:numCache>
                <c:formatCode>mmm\-yy</c:formatCode>
                <c:ptCount val="26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  <c:pt idx="15">
                  <c:v>46082</c:v>
                </c:pt>
                <c:pt idx="16">
                  <c:v>46113</c:v>
                </c:pt>
                <c:pt idx="17">
                  <c:v>46143</c:v>
                </c:pt>
                <c:pt idx="18">
                  <c:v>46174</c:v>
                </c:pt>
                <c:pt idx="19">
                  <c:v>46204</c:v>
                </c:pt>
                <c:pt idx="20">
                  <c:v>46235</c:v>
                </c:pt>
                <c:pt idx="21">
                  <c:v>46266</c:v>
                </c:pt>
                <c:pt idx="22">
                  <c:v>46296</c:v>
                </c:pt>
                <c:pt idx="23">
                  <c:v>46327</c:v>
                </c:pt>
                <c:pt idx="24">
                  <c:v>46357</c:v>
                </c:pt>
                <c:pt idx="25">
                  <c:v>46388</c:v>
                </c:pt>
              </c:numCache>
            </c:numRef>
          </c:cat>
          <c:val>
            <c:numRef>
              <c:f>'BE Hoy'!$F$2:$F$27</c:f>
              <c:numCache>
                <c:formatCode>General</c:formatCode>
                <c:ptCount val="26"/>
                <c:pt idx="14" formatCode="0.0%">
                  <c:v>2.8963190726726928E-2</c:v>
                </c:pt>
                <c:pt idx="15" formatCode="0.0%">
                  <c:v>2.908487670547899E-2</c:v>
                </c:pt>
                <c:pt idx="16" formatCode="0.0%">
                  <c:v>2.1811958406777649E-2</c:v>
                </c:pt>
                <c:pt idx="17" formatCode="0.0%">
                  <c:v>1.9782924676127574E-2</c:v>
                </c:pt>
                <c:pt idx="18" formatCode="0.0%">
                  <c:v>1.8336359397498673E-2</c:v>
                </c:pt>
                <c:pt idx="19" formatCode="0.0%">
                  <c:v>2.1667712167539419E-2</c:v>
                </c:pt>
                <c:pt idx="20" formatCode="0.0%">
                  <c:v>1.8851043858919569E-2</c:v>
                </c:pt>
                <c:pt idx="21" formatCode="0.0%">
                  <c:v>2.3239566188367582E-2</c:v>
                </c:pt>
                <c:pt idx="22" formatCode="0.0%">
                  <c:v>2.055245295224788E-2</c:v>
                </c:pt>
                <c:pt idx="23" formatCode="0.0%">
                  <c:v>1.7206571887781685E-2</c:v>
                </c:pt>
                <c:pt idx="24" formatCode="0.0%">
                  <c:v>1.6211339787053677E-2</c:v>
                </c:pt>
                <c:pt idx="25" formatCode="0.0%">
                  <c:v>1.7247937850937544E-2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0-433D-A0BB-A268F8E33B6A}"/>
            </c:ext>
          </c:extLst>
        </c:ser>
        <c:ser>
          <c:idx val="0"/>
          <c:order val="4"/>
          <c:tx>
            <c:strRef>
              <c:f>'BE Hoy'!$C$1</c:f>
              <c:strCache>
                <c:ptCount val="1"/>
                <c:pt idx="0">
                  <c:v>Inflación observada</c:v>
                </c:pt>
              </c:strCache>
            </c:strRef>
          </c:tx>
          <c:spPr>
            <a:ln w="476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'BE Hoy'!$A$2:$A$27</c:f>
              <c:numCache>
                <c:formatCode>mmm\-yy</c:formatCode>
                <c:ptCount val="26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  <c:pt idx="15">
                  <c:v>46082</c:v>
                </c:pt>
                <c:pt idx="16">
                  <c:v>46113</c:v>
                </c:pt>
                <c:pt idx="17">
                  <c:v>46143</c:v>
                </c:pt>
                <c:pt idx="18">
                  <c:v>46174</c:v>
                </c:pt>
                <c:pt idx="19">
                  <c:v>46204</c:v>
                </c:pt>
                <c:pt idx="20">
                  <c:v>46235</c:v>
                </c:pt>
                <c:pt idx="21">
                  <c:v>46266</c:v>
                </c:pt>
                <c:pt idx="22">
                  <c:v>46296</c:v>
                </c:pt>
                <c:pt idx="23">
                  <c:v>46327</c:v>
                </c:pt>
                <c:pt idx="24">
                  <c:v>46357</c:v>
                </c:pt>
                <c:pt idx="25">
                  <c:v>46388</c:v>
                </c:pt>
              </c:numCache>
            </c:numRef>
          </c:cat>
          <c:val>
            <c:numRef>
              <c:f>'BE Hoy'!$C$2:$C$27</c:f>
              <c:numCache>
                <c:formatCode>0.0%</c:formatCode>
                <c:ptCount val="26"/>
                <c:pt idx="0">
                  <c:v>2.7041040514633741E-2</c:v>
                </c:pt>
                <c:pt idx="1">
                  <c:v>2.2110480136651844E-2</c:v>
                </c:pt>
                <c:pt idx="2">
                  <c:v>2.4016274307517849E-2</c:v>
                </c:pt>
                <c:pt idx="3">
                  <c:v>3.7293353066121693E-2</c:v>
                </c:pt>
                <c:pt idx="4">
                  <c:v>2.7808358448509596E-2</c:v>
                </c:pt>
                <c:pt idx="5">
                  <c:v>1.5011086343823088E-2</c:v>
                </c:pt>
                <c:pt idx="6">
                  <c:v>1.6189248819933333E-2</c:v>
                </c:pt>
                <c:pt idx="7">
                  <c:v>1.9016837553312849E-2</c:v>
                </c:pt>
                <c:pt idx="8">
                  <c:v>1.8757935113502766E-2</c:v>
                </c:pt>
                <c:pt idx="9">
                  <c:v>2.0759603239513646E-2</c:v>
                </c:pt>
                <c:pt idx="10">
                  <c:v>2.3419431023919524E-2</c:v>
                </c:pt>
                <c:pt idx="11">
                  <c:v>2.4729196710785661E-2</c:v>
                </c:pt>
                <c:pt idx="12">
                  <c:v>2.8452719345717137E-2</c:v>
                </c:pt>
                <c:pt idx="13">
                  <c:v>2.881619353661713E-2</c:v>
                </c:pt>
                <c:pt idx="14">
                  <c:v>2.8963190726726928E-2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50-433D-A0BB-A268F8E33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13423"/>
        <c:axId val="52413903"/>
        <c:extLst>
          <c:ext xmlns:c15="http://schemas.microsoft.com/office/drawing/2012/chart" uri="{02D57815-91ED-43cb-92C2-25804820EDAC}">
            <c15:filteredLine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'BE Hoy'!$G$1</c15:sqref>
                        </c15:formulaRef>
                      </c:ext>
                    </c:extLst>
                    <c:strCache>
                      <c:ptCount val="1"/>
                      <c:pt idx="0">
                        <c:v>Inflación Consensus</c:v>
                      </c:pt>
                    </c:strCache>
                  </c:strRef>
                </c:tx>
                <c:spPr>
                  <a:ln w="47625" cap="rnd">
                    <a:solidFill>
                      <a:schemeClr val="accent5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'BE Hoy'!$A$2:$A$27</c15:sqref>
                        </c15:formulaRef>
                      </c:ext>
                    </c:extLst>
                    <c:numCache>
                      <c:formatCode>mmm\-yy</c:formatCode>
                      <c:ptCount val="26"/>
                      <c:pt idx="0">
                        <c:v>45627</c:v>
                      </c:pt>
                      <c:pt idx="1">
                        <c:v>45658</c:v>
                      </c:pt>
                      <c:pt idx="2">
                        <c:v>45689</c:v>
                      </c:pt>
                      <c:pt idx="3">
                        <c:v>45717</c:v>
                      </c:pt>
                      <c:pt idx="4">
                        <c:v>45748</c:v>
                      </c:pt>
                      <c:pt idx="5">
                        <c:v>45778</c:v>
                      </c:pt>
                      <c:pt idx="6">
                        <c:v>45809</c:v>
                      </c:pt>
                      <c:pt idx="7">
                        <c:v>45839</c:v>
                      </c:pt>
                      <c:pt idx="8">
                        <c:v>45870</c:v>
                      </c:pt>
                      <c:pt idx="9">
                        <c:v>45901</c:v>
                      </c:pt>
                      <c:pt idx="10">
                        <c:v>45931</c:v>
                      </c:pt>
                      <c:pt idx="11">
                        <c:v>45962</c:v>
                      </c:pt>
                      <c:pt idx="12">
                        <c:v>45992</c:v>
                      </c:pt>
                      <c:pt idx="13">
                        <c:v>46023</c:v>
                      </c:pt>
                      <c:pt idx="14">
                        <c:v>46054</c:v>
                      </c:pt>
                      <c:pt idx="15">
                        <c:v>46082</c:v>
                      </c:pt>
                      <c:pt idx="16">
                        <c:v>46113</c:v>
                      </c:pt>
                      <c:pt idx="17">
                        <c:v>46143</c:v>
                      </c:pt>
                      <c:pt idx="18">
                        <c:v>46174</c:v>
                      </c:pt>
                      <c:pt idx="19">
                        <c:v>46204</c:v>
                      </c:pt>
                      <c:pt idx="20">
                        <c:v>46235</c:v>
                      </c:pt>
                      <c:pt idx="21">
                        <c:v>46266</c:v>
                      </c:pt>
                      <c:pt idx="22">
                        <c:v>46296</c:v>
                      </c:pt>
                      <c:pt idx="23">
                        <c:v>46327</c:v>
                      </c:pt>
                      <c:pt idx="24">
                        <c:v>46357</c:v>
                      </c:pt>
                      <c:pt idx="25">
                        <c:v>46388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'BE Hoy'!$G$2:$G$27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3" formatCode="0.0%">
                        <c:v>2.881619353661713E-2</c:v>
                      </c:pt>
                      <c:pt idx="14" formatCode="0.0%">
                        <c:v>2.5000000000000001E-2</c:v>
                      </c:pt>
                      <c:pt idx="15" formatCode="0.0%">
                        <c:v>2.4E-2</c:v>
                      </c:pt>
                      <c:pt idx="16" formatCode="0.0%">
                        <c:v>2.1000000000000001E-2</c:v>
                      </c:pt>
                      <c:pt idx="17" formatCode="0.0%">
                        <c:v>1.4999999999999999E-2</c:v>
                      </c:pt>
                      <c:pt idx="18" formatCode="0.0%">
                        <c:v>1.4E-2</c:v>
                      </c:pt>
                      <c:pt idx="19" formatCode="0.0%">
                        <c:v>1.4999999999999999E-2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092-4BD8-9471-DEF9FC5115C0}"/>
                  </c:ext>
                </c:extLst>
              </c15:ser>
            </c15:filteredLineSeries>
          </c:ext>
        </c:extLst>
      </c:lineChart>
      <c:dateAx>
        <c:axId val="5241342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13903"/>
        <c:crosses val="autoZero"/>
        <c:auto val="1"/>
        <c:lblOffset val="100"/>
        <c:baseTimeUnit val="months"/>
      </c:dateAx>
      <c:valAx>
        <c:axId val="52413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1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9846119702470746E-2"/>
          <c:y val="9.8765071528035278E-2"/>
          <c:w val="0.91382623691846354"/>
          <c:h val="9.7686091119144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 sz="1680">
                <a:solidFill>
                  <a:sysClr val="windowText" lastClr="000000"/>
                </a:solidFill>
              </a:rPr>
              <a:t>Evolución de las inflaciones implícitas</a:t>
            </a:r>
            <a:endParaRPr lang="es-AR" sz="1680" baseline="0">
              <a:solidFill>
                <a:sysClr val="windowText" lastClr="000000"/>
              </a:solidFill>
            </a:endParaRPr>
          </a:p>
          <a:p>
            <a:pPr algn="l">
              <a:defRPr>
                <a:solidFill>
                  <a:sysClr val="windowText" lastClr="000000"/>
                </a:solidFill>
              </a:defRPr>
            </a:pPr>
            <a:r>
              <a:rPr lang="es-AR" sz="1400" baseline="0">
                <a:solidFill>
                  <a:schemeClr val="bg1">
                    <a:lumMod val="65000"/>
                  </a:schemeClr>
                </a:solidFill>
              </a:rPr>
              <a:t>(VALORES ANUALIZADOS, AL  10-FEB-26)</a:t>
            </a:r>
            <a:endParaRPr lang="es-AR" sz="1400">
              <a:solidFill>
                <a:schemeClr val="bg1">
                  <a:lumMod val="65000"/>
                </a:schemeClr>
              </a:solidFill>
            </a:endParaRPr>
          </a:p>
        </c:rich>
      </c:tx>
      <c:layout>
        <c:manualLayout>
          <c:xMode val="edge"/>
          <c:yMode val="edge"/>
          <c:x val="4.1276268685585355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8.1093929826899058E-2"/>
          <c:y val="0.14612239456097509"/>
          <c:w val="0.8934926966835729"/>
          <c:h val="0.64352444272617204"/>
        </c:manualLayout>
      </c:layout>
      <c:lineChart>
        <c:grouping val="standard"/>
        <c:varyColors val="0"/>
        <c:ser>
          <c:idx val="0"/>
          <c:order val="0"/>
          <c:tx>
            <c:strRef>
              <c:f>'Implícitas anualizadas'!$C$1</c:f>
              <c:strCache>
                <c:ptCount val="1"/>
                <c:pt idx="0">
                  <c:v>Implícita marzo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'Implícitas anualizadas'!$A$2:$A$50</c:f>
              <c:numCache>
                <c:formatCode>m/d/yyyy</c:formatCode>
                <c:ptCount val="49"/>
                <c:pt idx="0">
                  <c:v>46002</c:v>
                </c:pt>
                <c:pt idx="1">
                  <c:v>46003</c:v>
                </c:pt>
                <c:pt idx="2">
                  <c:v>46006</c:v>
                </c:pt>
                <c:pt idx="3">
                  <c:v>46007</c:v>
                </c:pt>
                <c:pt idx="4">
                  <c:v>46008</c:v>
                </c:pt>
                <c:pt idx="5">
                  <c:v>46009</c:v>
                </c:pt>
                <c:pt idx="6">
                  <c:v>46010</c:v>
                </c:pt>
                <c:pt idx="7">
                  <c:v>46013</c:v>
                </c:pt>
                <c:pt idx="8">
                  <c:v>46014</c:v>
                </c:pt>
                <c:pt idx="9">
                  <c:v>46015</c:v>
                </c:pt>
                <c:pt idx="10">
                  <c:v>46017</c:v>
                </c:pt>
                <c:pt idx="11">
                  <c:v>46020</c:v>
                </c:pt>
                <c:pt idx="12">
                  <c:v>46021</c:v>
                </c:pt>
                <c:pt idx="13">
                  <c:v>46024</c:v>
                </c:pt>
                <c:pt idx="14">
                  <c:v>46027</c:v>
                </c:pt>
                <c:pt idx="15">
                  <c:v>46028</c:v>
                </c:pt>
                <c:pt idx="16">
                  <c:v>46029</c:v>
                </c:pt>
                <c:pt idx="17">
                  <c:v>46030</c:v>
                </c:pt>
                <c:pt idx="18">
                  <c:v>46031</c:v>
                </c:pt>
                <c:pt idx="19">
                  <c:v>46034</c:v>
                </c:pt>
                <c:pt idx="20">
                  <c:v>46035</c:v>
                </c:pt>
                <c:pt idx="21">
                  <c:v>46036</c:v>
                </c:pt>
                <c:pt idx="22">
                  <c:v>46037</c:v>
                </c:pt>
                <c:pt idx="23">
                  <c:v>46038</c:v>
                </c:pt>
                <c:pt idx="24">
                  <c:v>46041</c:v>
                </c:pt>
                <c:pt idx="25">
                  <c:v>46042</c:v>
                </c:pt>
                <c:pt idx="26">
                  <c:v>46043</c:v>
                </c:pt>
                <c:pt idx="27">
                  <c:v>46044</c:v>
                </c:pt>
                <c:pt idx="28">
                  <c:v>46045</c:v>
                </c:pt>
                <c:pt idx="29">
                  <c:v>46048</c:v>
                </c:pt>
                <c:pt idx="30">
                  <c:v>46049</c:v>
                </c:pt>
                <c:pt idx="31">
                  <c:v>46050</c:v>
                </c:pt>
                <c:pt idx="32">
                  <c:v>46051</c:v>
                </c:pt>
                <c:pt idx="33">
                  <c:v>46052</c:v>
                </c:pt>
                <c:pt idx="34">
                  <c:v>46055</c:v>
                </c:pt>
                <c:pt idx="35">
                  <c:v>46056</c:v>
                </c:pt>
                <c:pt idx="36">
                  <c:v>46057</c:v>
                </c:pt>
                <c:pt idx="37">
                  <c:v>46058</c:v>
                </c:pt>
                <c:pt idx="38">
                  <c:v>46059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46071</c:v>
                </c:pt>
                <c:pt idx="45">
                  <c:v>46072</c:v>
                </c:pt>
                <c:pt idx="46">
                  <c:v>46073</c:v>
                </c:pt>
                <c:pt idx="47">
                  <c:v>46076</c:v>
                </c:pt>
              </c:numCache>
            </c:numRef>
          </c:cat>
          <c:val>
            <c:numRef>
              <c:f>'Implícitas anualizadas'!$C$2:$C$50</c:f>
              <c:numCache>
                <c:formatCode>0.0%</c:formatCode>
                <c:ptCount val="49"/>
                <c:pt idx="0">
                  <c:v>0.25748145632231578</c:v>
                </c:pt>
                <c:pt idx="1">
                  <c:v>0.26522166904157807</c:v>
                </c:pt>
                <c:pt idx="2">
                  <c:v>0.25992648768422599</c:v>
                </c:pt>
                <c:pt idx="3">
                  <c:v>0.27458923641880939</c:v>
                </c:pt>
                <c:pt idx="4">
                  <c:v>0.28353937281882535</c:v>
                </c:pt>
                <c:pt idx="5">
                  <c:v>0.28554682451433111</c:v>
                </c:pt>
                <c:pt idx="6">
                  <c:v>0.28530494124086547</c:v>
                </c:pt>
                <c:pt idx="7">
                  <c:v>0.28093863790329943</c:v>
                </c:pt>
                <c:pt idx="8">
                  <c:v>0.29216319709322702</c:v>
                </c:pt>
                <c:pt idx="9">
                  <c:v>0.31401014136877192</c:v>
                </c:pt>
                <c:pt idx="10">
                  <c:v>0.30118229160964383</c:v>
                </c:pt>
                <c:pt idx="11">
                  <c:v>0.28712336575320974</c:v>
                </c:pt>
                <c:pt idx="12">
                  <c:v>0.3017240764864062</c:v>
                </c:pt>
                <c:pt idx="13">
                  <c:v>0.29758235746237061</c:v>
                </c:pt>
                <c:pt idx="14">
                  <c:v>0.28665316891400838</c:v>
                </c:pt>
                <c:pt idx="15">
                  <c:v>0.28335145351548841</c:v>
                </c:pt>
                <c:pt idx="16">
                  <c:v>0.30638617845347782</c:v>
                </c:pt>
                <c:pt idx="17">
                  <c:v>0.30107201200729383</c:v>
                </c:pt>
                <c:pt idx="18">
                  <c:v>0.31899470031398236</c:v>
                </c:pt>
                <c:pt idx="19">
                  <c:v>0.31373577280682663</c:v>
                </c:pt>
                <c:pt idx="20">
                  <c:v>0.33034756412526023</c:v>
                </c:pt>
                <c:pt idx="21">
                  <c:v>0.3305555605661743</c:v>
                </c:pt>
                <c:pt idx="22">
                  <c:v>0.31402892045237807</c:v>
                </c:pt>
                <c:pt idx="23">
                  <c:v>0.33195007161943568</c:v>
                </c:pt>
                <c:pt idx="24">
                  <c:v>0.31254238836470871</c:v>
                </c:pt>
                <c:pt idx="25">
                  <c:v>0.28412121579217664</c:v>
                </c:pt>
                <c:pt idx="26">
                  <c:v>0.28921631731726571</c:v>
                </c:pt>
                <c:pt idx="27">
                  <c:v>0.27609761857175186</c:v>
                </c:pt>
                <c:pt idx="28">
                  <c:v>0.29160081997186293</c:v>
                </c:pt>
                <c:pt idx="29">
                  <c:v>0.29311516262847914</c:v>
                </c:pt>
                <c:pt idx="30">
                  <c:v>0.27681681461678309</c:v>
                </c:pt>
                <c:pt idx="31">
                  <c:v>0.25682562951124699</c:v>
                </c:pt>
                <c:pt idx="32">
                  <c:v>0.27837871632745381</c:v>
                </c:pt>
                <c:pt idx="33">
                  <c:v>0.28217057688098945</c:v>
                </c:pt>
                <c:pt idx="34">
                  <c:v>0.270026931363331</c:v>
                </c:pt>
                <c:pt idx="35">
                  <c:v>0.3001299621073279</c:v>
                </c:pt>
                <c:pt idx="36">
                  <c:v>0.29177221427727607</c:v>
                </c:pt>
                <c:pt idx="37">
                  <c:v>0.31652449505006963</c:v>
                </c:pt>
                <c:pt idx="38">
                  <c:v>0.32820917663525284</c:v>
                </c:pt>
                <c:pt idx="39">
                  <c:v>0.31883248428536159</c:v>
                </c:pt>
                <c:pt idx="40">
                  <c:v>0.3373545574297121</c:v>
                </c:pt>
                <c:pt idx="41">
                  <c:v>0.33550384374030662</c:v>
                </c:pt>
                <c:pt idx="42">
                  <c:v>0.30708746911802476</c:v>
                </c:pt>
                <c:pt idx="43">
                  <c:v>0.32826471372041421</c:v>
                </c:pt>
                <c:pt idx="44">
                  <c:v>0.32116292298568916</c:v>
                </c:pt>
                <c:pt idx="45">
                  <c:v>0.3211635333370968</c:v>
                </c:pt>
                <c:pt idx="46">
                  <c:v>0.33109759921674065</c:v>
                </c:pt>
                <c:pt idx="47">
                  <c:v>0.31718371294613257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B2-4EFE-8A49-DE24CA68F766}"/>
            </c:ext>
          </c:extLst>
        </c:ser>
        <c:ser>
          <c:idx val="1"/>
          <c:order val="1"/>
          <c:tx>
            <c:strRef>
              <c:f>'Implícitas anualizadas'!$D$1</c:f>
              <c:strCache>
                <c:ptCount val="1"/>
                <c:pt idx="0">
                  <c:v>Implícita abril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'Implícitas anualizadas'!$A$2:$A$50</c:f>
              <c:numCache>
                <c:formatCode>m/d/yyyy</c:formatCode>
                <c:ptCount val="49"/>
                <c:pt idx="0">
                  <c:v>46002</c:v>
                </c:pt>
                <c:pt idx="1">
                  <c:v>46003</c:v>
                </c:pt>
                <c:pt idx="2">
                  <c:v>46006</c:v>
                </c:pt>
                <c:pt idx="3">
                  <c:v>46007</c:v>
                </c:pt>
                <c:pt idx="4">
                  <c:v>46008</c:v>
                </c:pt>
                <c:pt idx="5">
                  <c:v>46009</c:v>
                </c:pt>
                <c:pt idx="6">
                  <c:v>46010</c:v>
                </c:pt>
                <c:pt idx="7">
                  <c:v>46013</c:v>
                </c:pt>
                <c:pt idx="8">
                  <c:v>46014</c:v>
                </c:pt>
                <c:pt idx="9">
                  <c:v>46015</c:v>
                </c:pt>
                <c:pt idx="10">
                  <c:v>46017</c:v>
                </c:pt>
                <c:pt idx="11">
                  <c:v>46020</c:v>
                </c:pt>
                <c:pt idx="12">
                  <c:v>46021</c:v>
                </c:pt>
                <c:pt idx="13">
                  <c:v>46024</c:v>
                </c:pt>
                <c:pt idx="14">
                  <c:v>46027</c:v>
                </c:pt>
                <c:pt idx="15">
                  <c:v>46028</c:v>
                </c:pt>
                <c:pt idx="16">
                  <c:v>46029</c:v>
                </c:pt>
                <c:pt idx="17">
                  <c:v>46030</c:v>
                </c:pt>
                <c:pt idx="18">
                  <c:v>46031</c:v>
                </c:pt>
                <c:pt idx="19">
                  <c:v>46034</c:v>
                </c:pt>
                <c:pt idx="20">
                  <c:v>46035</c:v>
                </c:pt>
                <c:pt idx="21">
                  <c:v>46036</c:v>
                </c:pt>
                <c:pt idx="22">
                  <c:v>46037</c:v>
                </c:pt>
                <c:pt idx="23">
                  <c:v>46038</c:v>
                </c:pt>
                <c:pt idx="24">
                  <c:v>46041</c:v>
                </c:pt>
                <c:pt idx="25">
                  <c:v>46042</c:v>
                </c:pt>
                <c:pt idx="26">
                  <c:v>46043</c:v>
                </c:pt>
                <c:pt idx="27">
                  <c:v>46044</c:v>
                </c:pt>
                <c:pt idx="28">
                  <c:v>46045</c:v>
                </c:pt>
                <c:pt idx="29">
                  <c:v>46048</c:v>
                </c:pt>
                <c:pt idx="30">
                  <c:v>46049</c:v>
                </c:pt>
                <c:pt idx="31">
                  <c:v>46050</c:v>
                </c:pt>
                <c:pt idx="32">
                  <c:v>46051</c:v>
                </c:pt>
                <c:pt idx="33">
                  <c:v>46052</c:v>
                </c:pt>
                <c:pt idx="34">
                  <c:v>46055</c:v>
                </c:pt>
                <c:pt idx="35">
                  <c:v>46056</c:v>
                </c:pt>
                <c:pt idx="36">
                  <c:v>46057</c:v>
                </c:pt>
                <c:pt idx="37">
                  <c:v>46058</c:v>
                </c:pt>
                <c:pt idx="38">
                  <c:v>46059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46071</c:v>
                </c:pt>
                <c:pt idx="45">
                  <c:v>46072</c:v>
                </c:pt>
                <c:pt idx="46">
                  <c:v>46073</c:v>
                </c:pt>
                <c:pt idx="47">
                  <c:v>46076</c:v>
                </c:pt>
              </c:numCache>
            </c:numRef>
          </c:cat>
          <c:val>
            <c:numRef>
              <c:f>'Implícitas anualizadas'!$D$2:$D$50</c:f>
              <c:numCache>
                <c:formatCode>0.0%</c:formatCode>
                <c:ptCount val="49"/>
                <c:pt idx="0">
                  <c:v>0.25229209270617514</c:v>
                </c:pt>
                <c:pt idx="1">
                  <c:v>0.26270644123970532</c:v>
                </c:pt>
                <c:pt idx="2">
                  <c:v>0.27582171842886916</c:v>
                </c:pt>
                <c:pt idx="3">
                  <c:v>0.26866616864486081</c:v>
                </c:pt>
                <c:pt idx="4">
                  <c:v>0.27356786918671427</c:v>
                </c:pt>
                <c:pt idx="5">
                  <c:v>0.28620393603795558</c:v>
                </c:pt>
                <c:pt idx="6">
                  <c:v>0.28944457337549023</c:v>
                </c:pt>
                <c:pt idx="7">
                  <c:v>0.28934410058598448</c:v>
                </c:pt>
                <c:pt idx="8">
                  <c:v>0.28804942417991253</c:v>
                </c:pt>
                <c:pt idx="9">
                  <c:v>0.29480906460514444</c:v>
                </c:pt>
                <c:pt idx="10">
                  <c:v>0.29001602658089243</c:v>
                </c:pt>
                <c:pt idx="11">
                  <c:v>0.27439674116987312</c:v>
                </c:pt>
                <c:pt idx="12">
                  <c:v>0.28413259745812014</c:v>
                </c:pt>
                <c:pt idx="13">
                  <c:v>0.27966712814549477</c:v>
                </c:pt>
                <c:pt idx="14">
                  <c:v>0.27826369793645367</c:v>
                </c:pt>
                <c:pt idx="15">
                  <c:v>0.28018430321714582</c:v>
                </c:pt>
                <c:pt idx="16">
                  <c:v>0.28794452883796184</c:v>
                </c:pt>
                <c:pt idx="17">
                  <c:v>0.29071957032228002</c:v>
                </c:pt>
                <c:pt idx="18">
                  <c:v>0.31292869119574163</c:v>
                </c:pt>
                <c:pt idx="19">
                  <c:v>0.31714933239402443</c:v>
                </c:pt>
                <c:pt idx="20">
                  <c:v>0.3202653647794016</c:v>
                </c:pt>
                <c:pt idx="21">
                  <c:v>0.31655689479264093</c:v>
                </c:pt>
                <c:pt idx="22">
                  <c:v>0.30642620594126257</c:v>
                </c:pt>
                <c:pt idx="23">
                  <c:v>0.31231697218881727</c:v>
                </c:pt>
                <c:pt idx="24">
                  <c:v>0.28551758023684637</c:v>
                </c:pt>
                <c:pt idx="25">
                  <c:v>0.28839215940255136</c:v>
                </c:pt>
                <c:pt idx="26">
                  <c:v>0.28164856588806253</c:v>
                </c:pt>
                <c:pt idx="27">
                  <c:v>0.28204879318328735</c:v>
                </c:pt>
                <c:pt idx="28">
                  <c:v>0.29032113019753814</c:v>
                </c:pt>
                <c:pt idx="29">
                  <c:v>0.29234255114668484</c:v>
                </c:pt>
                <c:pt idx="30">
                  <c:v>0.28596671172801447</c:v>
                </c:pt>
                <c:pt idx="31">
                  <c:v>0.28751143250095934</c:v>
                </c:pt>
                <c:pt idx="32">
                  <c:v>0.27292363001802911</c:v>
                </c:pt>
                <c:pt idx="33">
                  <c:v>0.2753486868755084</c:v>
                </c:pt>
                <c:pt idx="34">
                  <c:v>0.27362551405351088</c:v>
                </c:pt>
                <c:pt idx="35">
                  <c:v>0.28208585193280333</c:v>
                </c:pt>
                <c:pt idx="36">
                  <c:v>0.28908598479947578</c:v>
                </c:pt>
                <c:pt idx="37">
                  <c:v>0.31571894333651995</c:v>
                </c:pt>
                <c:pt idx="38">
                  <c:v>0.32281507891644656</c:v>
                </c:pt>
                <c:pt idx="39">
                  <c:v>0.32603593726416502</c:v>
                </c:pt>
                <c:pt idx="40">
                  <c:v>0.33148516301904563</c:v>
                </c:pt>
                <c:pt idx="41">
                  <c:v>0.33529403504846678</c:v>
                </c:pt>
                <c:pt idx="42">
                  <c:v>0.29128782155487043</c:v>
                </c:pt>
                <c:pt idx="43">
                  <c:v>0.29932034195450252</c:v>
                </c:pt>
                <c:pt idx="44">
                  <c:v>0.28702723603749147</c:v>
                </c:pt>
                <c:pt idx="45">
                  <c:v>0.30948467018634207</c:v>
                </c:pt>
                <c:pt idx="46">
                  <c:v>0.30656361959373091</c:v>
                </c:pt>
                <c:pt idx="47">
                  <c:v>0.29691376258568924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B2-4EFE-8A49-DE24CA68F766}"/>
            </c:ext>
          </c:extLst>
        </c:ser>
        <c:ser>
          <c:idx val="2"/>
          <c:order val="2"/>
          <c:tx>
            <c:strRef>
              <c:f>'Implícitas anualizadas'!$E$1</c:f>
              <c:strCache>
                <c:ptCount val="1"/>
                <c:pt idx="0">
                  <c:v>Implícita octubre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'Implícitas anualizadas'!$A$2:$A$50</c:f>
              <c:numCache>
                <c:formatCode>m/d/yyyy</c:formatCode>
                <c:ptCount val="49"/>
                <c:pt idx="0">
                  <c:v>46002</c:v>
                </c:pt>
                <c:pt idx="1">
                  <c:v>46003</c:v>
                </c:pt>
                <c:pt idx="2">
                  <c:v>46006</c:v>
                </c:pt>
                <c:pt idx="3">
                  <c:v>46007</c:v>
                </c:pt>
                <c:pt idx="4">
                  <c:v>46008</c:v>
                </c:pt>
                <c:pt idx="5">
                  <c:v>46009</c:v>
                </c:pt>
                <c:pt idx="6">
                  <c:v>46010</c:v>
                </c:pt>
                <c:pt idx="7">
                  <c:v>46013</c:v>
                </c:pt>
                <c:pt idx="8">
                  <c:v>46014</c:v>
                </c:pt>
                <c:pt idx="9">
                  <c:v>46015</c:v>
                </c:pt>
                <c:pt idx="10">
                  <c:v>46017</c:v>
                </c:pt>
                <c:pt idx="11">
                  <c:v>46020</c:v>
                </c:pt>
                <c:pt idx="12">
                  <c:v>46021</c:v>
                </c:pt>
                <c:pt idx="13">
                  <c:v>46024</c:v>
                </c:pt>
                <c:pt idx="14">
                  <c:v>46027</c:v>
                </c:pt>
                <c:pt idx="15">
                  <c:v>46028</c:v>
                </c:pt>
                <c:pt idx="16">
                  <c:v>46029</c:v>
                </c:pt>
                <c:pt idx="17">
                  <c:v>46030</c:v>
                </c:pt>
                <c:pt idx="18">
                  <c:v>46031</c:v>
                </c:pt>
                <c:pt idx="19">
                  <c:v>46034</c:v>
                </c:pt>
                <c:pt idx="20">
                  <c:v>46035</c:v>
                </c:pt>
                <c:pt idx="21">
                  <c:v>46036</c:v>
                </c:pt>
                <c:pt idx="22">
                  <c:v>46037</c:v>
                </c:pt>
                <c:pt idx="23">
                  <c:v>46038</c:v>
                </c:pt>
                <c:pt idx="24">
                  <c:v>46041</c:v>
                </c:pt>
                <c:pt idx="25">
                  <c:v>46042</c:v>
                </c:pt>
                <c:pt idx="26">
                  <c:v>46043</c:v>
                </c:pt>
                <c:pt idx="27">
                  <c:v>46044</c:v>
                </c:pt>
                <c:pt idx="28">
                  <c:v>46045</c:v>
                </c:pt>
                <c:pt idx="29">
                  <c:v>46048</c:v>
                </c:pt>
                <c:pt idx="30">
                  <c:v>46049</c:v>
                </c:pt>
                <c:pt idx="31">
                  <c:v>46050</c:v>
                </c:pt>
                <c:pt idx="32">
                  <c:v>46051</c:v>
                </c:pt>
                <c:pt idx="33">
                  <c:v>46052</c:v>
                </c:pt>
                <c:pt idx="34">
                  <c:v>46055</c:v>
                </c:pt>
                <c:pt idx="35">
                  <c:v>46056</c:v>
                </c:pt>
                <c:pt idx="36">
                  <c:v>46057</c:v>
                </c:pt>
                <c:pt idx="37">
                  <c:v>46058</c:v>
                </c:pt>
                <c:pt idx="38">
                  <c:v>46059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46071</c:v>
                </c:pt>
                <c:pt idx="45">
                  <c:v>46072</c:v>
                </c:pt>
                <c:pt idx="46">
                  <c:v>46073</c:v>
                </c:pt>
                <c:pt idx="47">
                  <c:v>46076</c:v>
                </c:pt>
              </c:numCache>
            </c:numRef>
          </c:cat>
          <c:val>
            <c:numRef>
              <c:f>'Implícitas anualizadas'!$E$2:$E$50</c:f>
              <c:numCache>
                <c:formatCode>0.0%</c:formatCode>
                <c:ptCount val="49"/>
                <c:pt idx="0">
                  <c:v>0.21677308250558247</c:v>
                </c:pt>
                <c:pt idx="1">
                  <c:v>0.21837412877552254</c:v>
                </c:pt>
                <c:pt idx="2">
                  <c:v>0.21333732480456424</c:v>
                </c:pt>
                <c:pt idx="3">
                  <c:v>0.2288446667344326</c:v>
                </c:pt>
                <c:pt idx="4">
                  <c:v>0.22081823824831881</c:v>
                </c:pt>
                <c:pt idx="5">
                  <c:v>0.22720606912156938</c:v>
                </c:pt>
                <c:pt idx="6">
                  <c:v>0.23258054440694265</c:v>
                </c:pt>
                <c:pt idx="7">
                  <c:v>0.23116221554425542</c:v>
                </c:pt>
                <c:pt idx="8">
                  <c:v>0.23341299687848682</c:v>
                </c:pt>
                <c:pt idx="9">
                  <c:v>0.22565573799302574</c:v>
                </c:pt>
                <c:pt idx="10">
                  <c:v>0.23439852790524651</c:v>
                </c:pt>
                <c:pt idx="11">
                  <c:v>0.2299849207751159</c:v>
                </c:pt>
                <c:pt idx="12">
                  <c:v>0.22174831355940938</c:v>
                </c:pt>
                <c:pt idx="13">
                  <c:v>0.23555570515618895</c:v>
                </c:pt>
                <c:pt idx="14">
                  <c:v>0.246535148550179</c:v>
                </c:pt>
                <c:pt idx="15">
                  <c:v>0.25485463428358979</c:v>
                </c:pt>
                <c:pt idx="16">
                  <c:v>0.25313645908654081</c:v>
                </c:pt>
                <c:pt idx="17">
                  <c:v>0.25246707020706394</c:v>
                </c:pt>
                <c:pt idx="18">
                  <c:v>0.26432791275525402</c:v>
                </c:pt>
                <c:pt idx="19">
                  <c:v>0.25813109027567349</c:v>
                </c:pt>
                <c:pt idx="20">
                  <c:v>0.2633798242861185</c:v>
                </c:pt>
                <c:pt idx="21">
                  <c:v>0.26211715079011322</c:v>
                </c:pt>
                <c:pt idx="22">
                  <c:v>0.24141574590453851</c:v>
                </c:pt>
                <c:pt idx="23">
                  <c:v>0.24672793865671938</c:v>
                </c:pt>
                <c:pt idx="24">
                  <c:v>0.22936946725450169</c:v>
                </c:pt>
                <c:pt idx="25">
                  <c:v>0.22989296556056527</c:v>
                </c:pt>
                <c:pt idx="26">
                  <c:v>0.23972222217543049</c:v>
                </c:pt>
                <c:pt idx="27">
                  <c:v>0.24814270636990354</c:v>
                </c:pt>
                <c:pt idx="28">
                  <c:v>0.24573919974768121</c:v>
                </c:pt>
                <c:pt idx="29">
                  <c:v>0.24319782527057421</c:v>
                </c:pt>
                <c:pt idx="30">
                  <c:v>0.24672707498835811</c:v>
                </c:pt>
                <c:pt idx="31">
                  <c:v>0.23878006767494298</c:v>
                </c:pt>
                <c:pt idx="32">
                  <c:v>0.23679987374239442</c:v>
                </c:pt>
                <c:pt idx="33">
                  <c:v>0.23465879408915491</c:v>
                </c:pt>
                <c:pt idx="34">
                  <c:v>0.23003291178913754</c:v>
                </c:pt>
                <c:pt idx="35">
                  <c:v>0.24146355375697603</c:v>
                </c:pt>
                <c:pt idx="36">
                  <c:v>0.25081515385702469</c:v>
                </c:pt>
                <c:pt idx="37">
                  <c:v>0.26018001873969965</c:v>
                </c:pt>
                <c:pt idx="38">
                  <c:v>0.27070779308964243</c:v>
                </c:pt>
                <c:pt idx="39">
                  <c:v>0.27780329335995346</c:v>
                </c:pt>
                <c:pt idx="40">
                  <c:v>0.28072955666525057</c:v>
                </c:pt>
                <c:pt idx="41">
                  <c:v>0.26846282671015831</c:v>
                </c:pt>
                <c:pt idx="42">
                  <c:v>0.25097820281094063</c:v>
                </c:pt>
                <c:pt idx="43">
                  <c:v>0.24106657673078091</c:v>
                </c:pt>
                <c:pt idx="44">
                  <c:v>0.2400457961102791</c:v>
                </c:pt>
                <c:pt idx="45">
                  <c:v>0.23701196381634904</c:v>
                </c:pt>
                <c:pt idx="46">
                  <c:v>0.22701686555209766</c:v>
                </c:pt>
                <c:pt idx="47">
                  <c:v>0.23201900380603036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B2-4EFE-8A49-DE24CA68F766}"/>
            </c:ext>
          </c:extLst>
        </c:ser>
        <c:ser>
          <c:idx val="3"/>
          <c:order val="3"/>
          <c:tx>
            <c:strRef>
              <c:f>'Implícitas anualizadas'!$B$1</c:f>
              <c:strCache>
                <c:ptCount val="1"/>
                <c:pt idx="0">
                  <c:v>Implícita febrero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'Implícitas anualizadas'!$A$2:$A$50</c:f>
              <c:numCache>
                <c:formatCode>m/d/yyyy</c:formatCode>
                <c:ptCount val="49"/>
                <c:pt idx="0">
                  <c:v>46002</c:v>
                </c:pt>
                <c:pt idx="1">
                  <c:v>46003</c:v>
                </c:pt>
                <c:pt idx="2">
                  <c:v>46006</c:v>
                </c:pt>
                <c:pt idx="3">
                  <c:v>46007</c:v>
                </c:pt>
                <c:pt idx="4">
                  <c:v>46008</c:v>
                </c:pt>
                <c:pt idx="5">
                  <c:v>46009</c:v>
                </c:pt>
                <c:pt idx="6">
                  <c:v>46010</c:v>
                </c:pt>
                <c:pt idx="7">
                  <c:v>46013</c:v>
                </c:pt>
                <c:pt idx="8">
                  <c:v>46014</c:v>
                </c:pt>
                <c:pt idx="9">
                  <c:v>46015</c:v>
                </c:pt>
                <c:pt idx="10">
                  <c:v>46017</c:v>
                </c:pt>
                <c:pt idx="11">
                  <c:v>46020</c:v>
                </c:pt>
                <c:pt idx="12">
                  <c:v>46021</c:v>
                </c:pt>
                <c:pt idx="13">
                  <c:v>46024</c:v>
                </c:pt>
                <c:pt idx="14">
                  <c:v>46027</c:v>
                </c:pt>
                <c:pt idx="15">
                  <c:v>46028</c:v>
                </c:pt>
                <c:pt idx="16">
                  <c:v>46029</c:v>
                </c:pt>
                <c:pt idx="17">
                  <c:v>46030</c:v>
                </c:pt>
                <c:pt idx="18">
                  <c:v>46031</c:v>
                </c:pt>
                <c:pt idx="19">
                  <c:v>46034</c:v>
                </c:pt>
                <c:pt idx="20">
                  <c:v>46035</c:v>
                </c:pt>
                <c:pt idx="21">
                  <c:v>46036</c:v>
                </c:pt>
                <c:pt idx="22">
                  <c:v>46037</c:v>
                </c:pt>
                <c:pt idx="23">
                  <c:v>46038</c:v>
                </c:pt>
                <c:pt idx="24">
                  <c:v>46041</c:v>
                </c:pt>
                <c:pt idx="25">
                  <c:v>46042</c:v>
                </c:pt>
                <c:pt idx="26">
                  <c:v>46043</c:v>
                </c:pt>
                <c:pt idx="27">
                  <c:v>46044</c:v>
                </c:pt>
                <c:pt idx="28">
                  <c:v>46045</c:v>
                </c:pt>
                <c:pt idx="29">
                  <c:v>46048</c:v>
                </c:pt>
                <c:pt idx="30">
                  <c:v>46049</c:v>
                </c:pt>
                <c:pt idx="31">
                  <c:v>46050</c:v>
                </c:pt>
                <c:pt idx="32">
                  <c:v>46051</c:v>
                </c:pt>
                <c:pt idx="33">
                  <c:v>46052</c:v>
                </c:pt>
                <c:pt idx="34">
                  <c:v>46055</c:v>
                </c:pt>
                <c:pt idx="35">
                  <c:v>46056</c:v>
                </c:pt>
                <c:pt idx="36">
                  <c:v>46057</c:v>
                </c:pt>
                <c:pt idx="37">
                  <c:v>46058</c:v>
                </c:pt>
                <c:pt idx="38">
                  <c:v>46059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46071</c:v>
                </c:pt>
                <c:pt idx="45">
                  <c:v>46072</c:v>
                </c:pt>
                <c:pt idx="46">
                  <c:v>46073</c:v>
                </c:pt>
                <c:pt idx="47">
                  <c:v>46076</c:v>
                </c:pt>
              </c:numCache>
            </c:numRef>
          </c:cat>
          <c:val>
            <c:numRef>
              <c:f>'Implícitas anualizadas'!$B$2:$B$50</c:f>
              <c:numCache>
                <c:formatCode>0%</c:formatCode>
                <c:ptCount val="49"/>
                <c:pt idx="10">
                  <c:v>0.33610384944728211</c:v>
                </c:pt>
                <c:pt idx="11">
                  <c:v>0.30308853401676483</c:v>
                </c:pt>
                <c:pt idx="12">
                  <c:v>0.33722305729952629</c:v>
                </c:pt>
                <c:pt idx="13">
                  <c:v>0.31897464898166916</c:v>
                </c:pt>
                <c:pt idx="14">
                  <c:v>0.33011978241457007</c:v>
                </c:pt>
                <c:pt idx="15">
                  <c:v>0.33173109680725932</c:v>
                </c:pt>
                <c:pt idx="16">
                  <c:v>0.33082283873455753</c:v>
                </c:pt>
                <c:pt idx="17">
                  <c:v>0.33675445922184766</c:v>
                </c:pt>
                <c:pt idx="18">
                  <c:v>0.36316336697727558</c:v>
                </c:pt>
                <c:pt idx="19">
                  <c:v>0.34471346972642358</c:v>
                </c:pt>
                <c:pt idx="20">
                  <c:v>0.37138963602318609</c:v>
                </c:pt>
                <c:pt idx="21">
                  <c:v>0.37394746261363943</c:v>
                </c:pt>
                <c:pt idx="22">
                  <c:v>0.36779531633118623</c:v>
                </c:pt>
                <c:pt idx="23">
                  <c:v>0.36967162375531459</c:v>
                </c:pt>
                <c:pt idx="24">
                  <c:v>0.2955096959876824</c:v>
                </c:pt>
                <c:pt idx="25">
                  <c:v>0.27148541002423832</c:v>
                </c:pt>
                <c:pt idx="26">
                  <c:v>0.27041296560413741</c:v>
                </c:pt>
                <c:pt idx="27">
                  <c:v>0.26446235414204988</c:v>
                </c:pt>
                <c:pt idx="28">
                  <c:v>0.3263616210164646</c:v>
                </c:pt>
                <c:pt idx="29">
                  <c:v>0.31814854161920714</c:v>
                </c:pt>
                <c:pt idx="30">
                  <c:v>0.32385745450737313</c:v>
                </c:pt>
                <c:pt idx="31">
                  <c:v>0.32778080468132931</c:v>
                </c:pt>
                <c:pt idx="32">
                  <c:v>0.32603953530912588</c:v>
                </c:pt>
                <c:pt idx="33">
                  <c:v>0.37168762758700402</c:v>
                </c:pt>
                <c:pt idx="34">
                  <c:v>0.35597099316215086</c:v>
                </c:pt>
                <c:pt idx="35">
                  <c:v>0.34994399813246324</c:v>
                </c:pt>
                <c:pt idx="36">
                  <c:v>0.35736838249819503</c:v>
                </c:pt>
                <c:pt idx="37">
                  <c:v>0.36409846336284435</c:v>
                </c:pt>
                <c:pt idx="38">
                  <c:v>0.38846530257544987</c:v>
                </c:pt>
                <c:pt idx="39">
                  <c:v>0.37223328352852914</c:v>
                </c:pt>
                <c:pt idx="40">
                  <c:v>0.43649827401763597</c:v>
                </c:pt>
                <c:pt idx="41">
                  <c:v>0.43784032894213376</c:v>
                </c:pt>
                <c:pt idx="42">
                  <c:v>0.47083383352127428</c:v>
                </c:pt>
                <c:pt idx="43">
                  <c:v>-0.22171159962808606</c:v>
                </c:pt>
                <c:pt idx="44">
                  <c:v>0.42958677339467299</c:v>
                </c:pt>
                <c:pt idx="45">
                  <c:v>0.58867579466363518</c:v>
                </c:pt>
                <c:pt idx="46">
                  <c:v>0.13612470572863744</c:v>
                </c:pt>
                <c:pt idx="47">
                  <c:v>0.68545835310750092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F9-4D18-A11E-E1F4B66063A4}"/>
            </c:ext>
          </c:extLst>
        </c:ser>
        <c:ser>
          <c:idx val="4"/>
          <c:order val="4"/>
          <c:tx>
            <c:strRef>
              <c:f>'Implícitas anualizadas'!$F$1</c:f>
              <c:strCache>
                <c:ptCount val="1"/>
                <c:pt idx="0">
                  <c:v>Implícita febrero 27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'Implícitas anualizadas'!$A$2:$A$50</c:f>
              <c:numCache>
                <c:formatCode>m/d/yyyy</c:formatCode>
                <c:ptCount val="49"/>
                <c:pt idx="0">
                  <c:v>46002</c:v>
                </c:pt>
                <c:pt idx="1">
                  <c:v>46003</c:v>
                </c:pt>
                <c:pt idx="2">
                  <c:v>46006</c:v>
                </c:pt>
                <c:pt idx="3">
                  <c:v>46007</c:v>
                </c:pt>
                <c:pt idx="4">
                  <c:v>46008</c:v>
                </c:pt>
                <c:pt idx="5">
                  <c:v>46009</c:v>
                </c:pt>
                <c:pt idx="6">
                  <c:v>46010</c:v>
                </c:pt>
                <c:pt idx="7">
                  <c:v>46013</c:v>
                </c:pt>
                <c:pt idx="8">
                  <c:v>46014</c:v>
                </c:pt>
                <c:pt idx="9">
                  <c:v>46015</c:v>
                </c:pt>
                <c:pt idx="10">
                  <c:v>46017</c:v>
                </c:pt>
                <c:pt idx="11">
                  <c:v>46020</c:v>
                </c:pt>
                <c:pt idx="12">
                  <c:v>46021</c:v>
                </c:pt>
                <c:pt idx="13">
                  <c:v>46024</c:v>
                </c:pt>
                <c:pt idx="14">
                  <c:v>46027</c:v>
                </c:pt>
                <c:pt idx="15">
                  <c:v>46028</c:v>
                </c:pt>
                <c:pt idx="16">
                  <c:v>46029</c:v>
                </c:pt>
                <c:pt idx="17">
                  <c:v>46030</c:v>
                </c:pt>
                <c:pt idx="18">
                  <c:v>46031</c:v>
                </c:pt>
                <c:pt idx="19">
                  <c:v>46034</c:v>
                </c:pt>
                <c:pt idx="20">
                  <c:v>46035</c:v>
                </c:pt>
                <c:pt idx="21">
                  <c:v>46036</c:v>
                </c:pt>
                <c:pt idx="22">
                  <c:v>46037</c:v>
                </c:pt>
                <c:pt idx="23">
                  <c:v>46038</c:v>
                </c:pt>
                <c:pt idx="24">
                  <c:v>46041</c:v>
                </c:pt>
                <c:pt idx="25">
                  <c:v>46042</c:v>
                </c:pt>
                <c:pt idx="26">
                  <c:v>46043</c:v>
                </c:pt>
                <c:pt idx="27">
                  <c:v>46044</c:v>
                </c:pt>
                <c:pt idx="28">
                  <c:v>46045</c:v>
                </c:pt>
                <c:pt idx="29">
                  <c:v>46048</c:v>
                </c:pt>
                <c:pt idx="30">
                  <c:v>46049</c:v>
                </c:pt>
                <c:pt idx="31">
                  <c:v>46050</c:v>
                </c:pt>
                <c:pt idx="32">
                  <c:v>46051</c:v>
                </c:pt>
                <c:pt idx="33">
                  <c:v>46052</c:v>
                </c:pt>
                <c:pt idx="34">
                  <c:v>46055</c:v>
                </c:pt>
                <c:pt idx="35">
                  <c:v>46056</c:v>
                </c:pt>
                <c:pt idx="36">
                  <c:v>46057</c:v>
                </c:pt>
                <c:pt idx="37">
                  <c:v>46058</c:v>
                </c:pt>
                <c:pt idx="38">
                  <c:v>46059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46071</c:v>
                </c:pt>
                <c:pt idx="45">
                  <c:v>46072</c:v>
                </c:pt>
                <c:pt idx="46">
                  <c:v>46073</c:v>
                </c:pt>
                <c:pt idx="47">
                  <c:v>46076</c:v>
                </c:pt>
              </c:numCache>
            </c:numRef>
          </c:cat>
          <c:val>
            <c:numRef>
              <c:f>'Implícitas anualizadas'!$F$2:$F$50</c:f>
              <c:numCache>
                <c:formatCode>0.0%</c:formatCode>
                <c:ptCount val="49"/>
                <c:pt idx="0">
                  <c:v>0.21080582040179685</c:v>
                </c:pt>
                <c:pt idx="1">
                  <c:v>0.21065031186628969</c:v>
                </c:pt>
                <c:pt idx="2">
                  <c:v>0.21254391058154365</c:v>
                </c:pt>
                <c:pt idx="3">
                  <c:v>0.21478419849803765</c:v>
                </c:pt>
                <c:pt idx="4">
                  <c:v>0.21824405700175675</c:v>
                </c:pt>
                <c:pt idx="5">
                  <c:v>0.21892809621222997</c:v>
                </c:pt>
                <c:pt idx="6">
                  <c:v>0.22115204951722411</c:v>
                </c:pt>
                <c:pt idx="7">
                  <c:v>0.21601488369191024</c:v>
                </c:pt>
                <c:pt idx="8">
                  <c:v>0.2187144391593101</c:v>
                </c:pt>
                <c:pt idx="9">
                  <c:v>0.22577153628796487</c:v>
                </c:pt>
                <c:pt idx="10">
                  <c:v>0.21735660480901764</c:v>
                </c:pt>
                <c:pt idx="11">
                  <c:v>0.22325214568278184</c:v>
                </c:pt>
                <c:pt idx="12">
                  <c:v>0.21676930020785323</c:v>
                </c:pt>
                <c:pt idx="13">
                  <c:v>0.2279211615324459</c:v>
                </c:pt>
                <c:pt idx="14">
                  <c:v>0.22769096866033811</c:v>
                </c:pt>
                <c:pt idx="15">
                  <c:v>0.2276540264595539</c:v>
                </c:pt>
                <c:pt idx="16">
                  <c:v>0.22761379273176963</c:v>
                </c:pt>
                <c:pt idx="17">
                  <c:v>0.22824501937449204</c:v>
                </c:pt>
                <c:pt idx="18">
                  <c:v>0.23343136979779477</c:v>
                </c:pt>
                <c:pt idx="19">
                  <c:v>0.23539191476098842</c:v>
                </c:pt>
                <c:pt idx="20">
                  <c:v>0.23895833761042784</c:v>
                </c:pt>
                <c:pt idx="21">
                  <c:v>0.23730618711189044</c:v>
                </c:pt>
                <c:pt idx="22">
                  <c:v>0.22063915672194678</c:v>
                </c:pt>
                <c:pt idx="23">
                  <c:v>0.21821084064570195</c:v>
                </c:pt>
                <c:pt idx="24">
                  <c:v>0.21213290341284408</c:v>
                </c:pt>
                <c:pt idx="25">
                  <c:v>0.20936070745952939</c:v>
                </c:pt>
                <c:pt idx="26">
                  <c:v>0.21174978271352152</c:v>
                </c:pt>
                <c:pt idx="27">
                  <c:v>0.21561277367141995</c:v>
                </c:pt>
                <c:pt idx="28">
                  <c:v>0.21371049812499332</c:v>
                </c:pt>
                <c:pt idx="29">
                  <c:v>0.21470051739073837</c:v>
                </c:pt>
                <c:pt idx="30">
                  <c:v>0.2104149551169836</c:v>
                </c:pt>
                <c:pt idx="31">
                  <c:v>0.20964547406121659</c:v>
                </c:pt>
                <c:pt idx="32">
                  <c:v>0.2099905292919193</c:v>
                </c:pt>
                <c:pt idx="33">
                  <c:v>0.21059712171396061</c:v>
                </c:pt>
                <c:pt idx="34">
                  <c:v>0.21050646931859363</c:v>
                </c:pt>
                <c:pt idx="35">
                  <c:v>0.21137576990604701</c:v>
                </c:pt>
                <c:pt idx="36">
                  <c:v>0.21647260609108554</c:v>
                </c:pt>
                <c:pt idx="37">
                  <c:v>0.22660314326251441</c:v>
                </c:pt>
                <c:pt idx="38">
                  <c:v>0.22749437749567814</c:v>
                </c:pt>
                <c:pt idx="39">
                  <c:v>0.22951799908495252</c:v>
                </c:pt>
                <c:pt idx="40">
                  <c:v>0.22768508243149155</c:v>
                </c:pt>
                <c:pt idx="41">
                  <c:v>0.2280443847764646</c:v>
                </c:pt>
                <c:pt idx="42">
                  <c:v>0.21281570148886519</c:v>
                </c:pt>
                <c:pt idx="43">
                  <c:v>0.21933214511547572</c:v>
                </c:pt>
                <c:pt idx="44">
                  <c:v>0.21813577129022677</c:v>
                </c:pt>
                <c:pt idx="45">
                  <c:v>0.22077110334853467</c:v>
                </c:pt>
                <c:pt idx="46">
                  <c:v>0.22062532012858971</c:v>
                </c:pt>
                <c:pt idx="47">
                  <c:v>0.21671633578452321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F9-4D18-A11E-E1F4B66063A4}"/>
            </c:ext>
          </c:extLst>
        </c:ser>
        <c:ser>
          <c:idx val="5"/>
          <c:order val="5"/>
          <c:tx>
            <c:strRef>
              <c:f>'Implícitas anualizadas'!$G$1</c:f>
              <c:strCache>
                <c:ptCount val="1"/>
                <c:pt idx="0">
                  <c:v>Promedio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'Implícitas anualizadas'!$A$2:$A$50</c:f>
              <c:numCache>
                <c:formatCode>m/d/yyyy</c:formatCode>
                <c:ptCount val="49"/>
                <c:pt idx="0">
                  <c:v>46002</c:v>
                </c:pt>
                <c:pt idx="1">
                  <c:v>46003</c:v>
                </c:pt>
                <c:pt idx="2">
                  <c:v>46006</c:v>
                </c:pt>
                <c:pt idx="3">
                  <c:v>46007</c:v>
                </c:pt>
                <c:pt idx="4">
                  <c:v>46008</c:v>
                </c:pt>
                <c:pt idx="5">
                  <c:v>46009</c:v>
                </c:pt>
                <c:pt idx="6">
                  <c:v>46010</c:v>
                </c:pt>
                <c:pt idx="7">
                  <c:v>46013</c:v>
                </c:pt>
                <c:pt idx="8">
                  <c:v>46014</c:v>
                </c:pt>
                <c:pt idx="9">
                  <c:v>46015</c:v>
                </c:pt>
                <c:pt idx="10">
                  <c:v>46017</c:v>
                </c:pt>
                <c:pt idx="11">
                  <c:v>46020</c:v>
                </c:pt>
                <c:pt idx="12">
                  <c:v>46021</c:v>
                </c:pt>
                <c:pt idx="13">
                  <c:v>46024</c:v>
                </c:pt>
                <c:pt idx="14">
                  <c:v>46027</c:v>
                </c:pt>
                <c:pt idx="15">
                  <c:v>46028</c:v>
                </c:pt>
                <c:pt idx="16">
                  <c:v>46029</c:v>
                </c:pt>
                <c:pt idx="17">
                  <c:v>46030</c:v>
                </c:pt>
                <c:pt idx="18">
                  <c:v>46031</c:v>
                </c:pt>
                <c:pt idx="19">
                  <c:v>46034</c:v>
                </c:pt>
                <c:pt idx="20">
                  <c:v>46035</c:v>
                </c:pt>
                <c:pt idx="21">
                  <c:v>46036</c:v>
                </c:pt>
                <c:pt idx="22">
                  <c:v>46037</c:v>
                </c:pt>
                <c:pt idx="23">
                  <c:v>46038</c:v>
                </c:pt>
                <c:pt idx="24">
                  <c:v>46041</c:v>
                </c:pt>
                <c:pt idx="25">
                  <c:v>46042</c:v>
                </c:pt>
                <c:pt idx="26">
                  <c:v>46043</c:v>
                </c:pt>
                <c:pt idx="27">
                  <c:v>46044</c:v>
                </c:pt>
                <c:pt idx="28">
                  <c:v>46045</c:v>
                </c:pt>
                <c:pt idx="29">
                  <c:v>46048</c:v>
                </c:pt>
                <c:pt idx="30">
                  <c:v>46049</c:v>
                </c:pt>
                <c:pt idx="31">
                  <c:v>46050</c:v>
                </c:pt>
                <c:pt idx="32">
                  <c:v>46051</c:v>
                </c:pt>
                <c:pt idx="33">
                  <c:v>46052</c:v>
                </c:pt>
                <c:pt idx="34">
                  <c:v>46055</c:v>
                </c:pt>
                <c:pt idx="35">
                  <c:v>46056</c:v>
                </c:pt>
                <c:pt idx="36">
                  <c:v>46057</c:v>
                </c:pt>
                <c:pt idx="37">
                  <c:v>46058</c:v>
                </c:pt>
                <c:pt idx="38">
                  <c:v>46059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46071</c:v>
                </c:pt>
                <c:pt idx="45">
                  <c:v>46072</c:v>
                </c:pt>
                <c:pt idx="46">
                  <c:v>46073</c:v>
                </c:pt>
                <c:pt idx="47">
                  <c:v>46076</c:v>
                </c:pt>
              </c:numCache>
            </c:numRef>
          </c:cat>
          <c:val>
            <c:numRef>
              <c:f>'Implícitas anualizadas'!$G$2:$G$50</c:f>
              <c:numCache>
                <c:formatCode>0%</c:formatCode>
                <c:ptCount val="49"/>
                <c:pt idx="0">
                  <c:v>0.23433811298396756</c:v>
                </c:pt>
                <c:pt idx="1">
                  <c:v>0.2392381377307739</c:v>
                </c:pt>
                <c:pt idx="2">
                  <c:v>0.24040736037480076</c:v>
                </c:pt>
                <c:pt idx="3">
                  <c:v>0.24672106757403511</c:v>
                </c:pt>
                <c:pt idx="4">
                  <c:v>0.2490423843139038</c:v>
                </c:pt>
                <c:pt idx="5">
                  <c:v>0.25447123147152151</c:v>
                </c:pt>
                <c:pt idx="6">
                  <c:v>0.25712052713513062</c:v>
                </c:pt>
                <c:pt idx="7">
                  <c:v>0.25436495943136239</c:v>
                </c:pt>
                <c:pt idx="8">
                  <c:v>0.25808501432773412</c:v>
                </c:pt>
                <c:pt idx="9">
                  <c:v>0.26506162006372674</c:v>
                </c:pt>
                <c:pt idx="10">
                  <c:v>0.27581146007041651</c:v>
                </c:pt>
                <c:pt idx="11">
                  <c:v>0.26356914147954907</c:v>
                </c:pt>
                <c:pt idx="12">
                  <c:v>0.27231946900226306</c:v>
                </c:pt>
                <c:pt idx="13">
                  <c:v>0.27194020025563387</c:v>
                </c:pt>
                <c:pt idx="14">
                  <c:v>0.27385255329510982</c:v>
                </c:pt>
                <c:pt idx="15">
                  <c:v>0.27555510285660745</c:v>
                </c:pt>
                <c:pt idx="16">
                  <c:v>0.28118075956886152</c:v>
                </c:pt>
                <c:pt idx="17">
                  <c:v>0.28185162622659549</c:v>
                </c:pt>
                <c:pt idx="18">
                  <c:v>0.2985692082080097</c:v>
                </c:pt>
                <c:pt idx="19">
                  <c:v>0.2938243159927873</c:v>
                </c:pt>
                <c:pt idx="20">
                  <c:v>0.30486814536487883</c:v>
                </c:pt>
                <c:pt idx="21">
                  <c:v>0.30409665117489165</c:v>
                </c:pt>
                <c:pt idx="22">
                  <c:v>0.29006106907026241</c:v>
                </c:pt>
                <c:pt idx="23">
                  <c:v>0.29577548937319775</c:v>
                </c:pt>
                <c:pt idx="24">
                  <c:v>0.26701440705131663</c:v>
                </c:pt>
                <c:pt idx="25">
                  <c:v>0.25665049164781217</c:v>
                </c:pt>
                <c:pt idx="26">
                  <c:v>0.25854997073968355</c:v>
                </c:pt>
                <c:pt idx="27">
                  <c:v>0.25727284918768251</c:v>
                </c:pt>
                <c:pt idx="28">
                  <c:v>0.27354665381170806</c:v>
                </c:pt>
                <c:pt idx="29">
                  <c:v>0.27230091961113673</c:v>
                </c:pt>
                <c:pt idx="30">
                  <c:v>0.26875660219150249</c:v>
                </c:pt>
                <c:pt idx="31">
                  <c:v>0.26410868168593904</c:v>
                </c:pt>
                <c:pt idx="32">
                  <c:v>0.2648264569377845</c:v>
                </c:pt>
                <c:pt idx="33">
                  <c:v>0.2748925614293235</c:v>
                </c:pt>
                <c:pt idx="34">
                  <c:v>0.26803256393734476</c:v>
                </c:pt>
                <c:pt idx="35">
                  <c:v>0.27699982716712351</c:v>
                </c:pt>
                <c:pt idx="36">
                  <c:v>0.2811028683046114</c:v>
                </c:pt>
                <c:pt idx="37">
                  <c:v>0.2966250127503296</c:v>
                </c:pt>
                <c:pt idx="38">
                  <c:v>0.30753834574249395</c:v>
                </c:pt>
                <c:pt idx="39">
                  <c:v>0.30488459950459235</c:v>
                </c:pt>
                <c:pt idx="40">
                  <c:v>0.32275052671262716</c:v>
                </c:pt>
                <c:pt idx="41">
                  <c:v>0.32102908384350604</c:v>
                </c:pt>
                <c:pt idx="42">
                  <c:v>0.30660060569879505</c:v>
                </c:pt>
                <c:pt idx="43">
                  <c:v>0.17325443557861747</c:v>
                </c:pt>
                <c:pt idx="44">
                  <c:v>0.2991916999636719</c:v>
                </c:pt>
                <c:pt idx="45">
                  <c:v>0.33542141307039153</c:v>
                </c:pt>
                <c:pt idx="46">
                  <c:v>0.24428562204395926</c:v>
                </c:pt>
                <c:pt idx="47">
                  <c:v>0.34965823364597526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F9-4D18-A11E-E1F4B6606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747727"/>
        <c:axId val="565736207"/>
      </c:lineChart>
      <c:dateAx>
        <c:axId val="5657477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65736207"/>
        <c:crosses val="autoZero"/>
        <c:auto val="1"/>
        <c:lblOffset val="100"/>
        <c:baseTimeUnit val="days"/>
      </c:dateAx>
      <c:valAx>
        <c:axId val="565736207"/>
        <c:scaling>
          <c:orientation val="minMax"/>
          <c:max val="0.35000000000000003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6574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AR" sz="1680"/>
              <a:t>Evolución de las inflaciónes implícitas</a:t>
            </a:r>
          </a:p>
          <a:p>
            <a:pPr algn="l">
              <a:defRPr/>
            </a:pPr>
            <a:r>
              <a:rPr lang="es-AR">
                <a:solidFill>
                  <a:schemeClr val="bg1">
                    <a:lumMod val="65000"/>
                  </a:schemeClr>
                </a:solidFill>
              </a:rPr>
              <a:t>AL</a:t>
            </a:r>
            <a:r>
              <a:rPr lang="es-AR" baseline="0">
                <a:solidFill>
                  <a:schemeClr val="bg1">
                    <a:lumMod val="65000"/>
                  </a:schemeClr>
                </a:solidFill>
              </a:rPr>
              <a:t> 6-FEB-26</a:t>
            </a:r>
            <a:endParaRPr lang="es-AR">
              <a:solidFill>
                <a:schemeClr val="bg1">
                  <a:lumMod val="65000"/>
                </a:schemeClr>
              </a:solidFill>
            </a:endParaRPr>
          </a:p>
        </c:rich>
      </c:tx>
      <c:layout>
        <c:manualLayout>
          <c:xMode val="edge"/>
          <c:yMode val="edge"/>
          <c:x val="1.0996600708229548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6.8041372705547998E-2"/>
          <c:y val="0.12845130587320766"/>
          <c:w val="0.91418884382642096"/>
          <c:h val="0.70700244919807453"/>
        </c:manualLayout>
      </c:layout>
      <c:lineChart>
        <c:grouping val="standard"/>
        <c:varyColors val="0"/>
        <c:ser>
          <c:idx val="0"/>
          <c:order val="0"/>
          <c:tx>
            <c:v>Implícita a marzo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'Inflación BE'!$A$21:$A$85</c:f>
              <c:numCache>
                <c:formatCode>m/d/yyyy</c:formatCode>
                <c:ptCount val="65"/>
                <c:pt idx="0">
                  <c:v>46002</c:v>
                </c:pt>
                <c:pt idx="1">
                  <c:v>46003</c:v>
                </c:pt>
                <c:pt idx="2">
                  <c:v>46006</c:v>
                </c:pt>
                <c:pt idx="3">
                  <c:v>46007</c:v>
                </c:pt>
                <c:pt idx="4">
                  <c:v>46008</c:v>
                </c:pt>
                <c:pt idx="5">
                  <c:v>46009</c:v>
                </c:pt>
                <c:pt idx="6">
                  <c:v>46010</c:v>
                </c:pt>
                <c:pt idx="7">
                  <c:v>46013</c:v>
                </c:pt>
                <c:pt idx="8">
                  <c:v>46014</c:v>
                </c:pt>
                <c:pt idx="9">
                  <c:v>46015</c:v>
                </c:pt>
                <c:pt idx="10">
                  <c:v>46017</c:v>
                </c:pt>
                <c:pt idx="11">
                  <c:v>46020</c:v>
                </c:pt>
                <c:pt idx="12">
                  <c:v>46021</c:v>
                </c:pt>
                <c:pt idx="13">
                  <c:v>46024</c:v>
                </c:pt>
                <c:pt idx="14">
                  <c:v>46027</c:v>
                </c:pt>
                <c:pt idx="15">
                  <c:v>46028</c:v>
                </c:pt>
                <c:pt idx="16">
                  <c:v>46029</c:v>
                </c:pt>
                <c:pt idx="17">
                  <c:v>46030</c:v>
                </c:pt>
                <c:pt idx="18">
                  <c:v>46031</c:v>
                </c:pt>
                <c:pt idx="19">
                  <c:v>46034</c:v>
                </c:pt>
                <c:pt idx="20">
                  <c:v>46035</c:v>
                </c:pt>
                <c:pt idx="21">
                  <c:v>46036</c:v>
                </c:pt>
                <c:pt idx="22">
                  <c:v>46037</c:v>
                </c:pt>
                <c:pt idx="23">
                  <c:v>46038</c:v>
                </c:pt>
                <c:pt idx="24">
                  <c:v>46041</c:v>
                </c:pt>
                <c:pt idx="25">
                  <c:v>46042</c:v>
                </c:pt>
                <c:pt idx="26">
                  <c:v>46043</c:v>
                </c:pt>
                <c:pt idx="27">
                  <c:v>46044</c:v>
                </c:pt>
                <c:pt idx="28">
                  <c:v>46045</c:v>
                </c:pt>
                <c:pt idx="29">
                  <c:v>46048</c:v>
                </c:pt>
                <c:pt idx="30">
                  <c:v>46049</c:v>
                </c:pt>
                <c:pt idx="31">
                  <c:v>46050</c:v>
                </c:pt>
                <c:pt idx="32">
                  <c:v>46051</c:v>
                </c:pt>
                <c:pt idx="33">
                  <c:v>46052</c:v>
                </c:pt>
                <c:pt idx="34">
                  <c:v>46055</c:v>
                </c:pt>
                <c:pt idx="35">
                  <c:v>46056</c:v>
                </c:pt>
                <c:pt idx="36">
                  <c:v>46057</c:v>
                </c:pt>
                <c:pt idx="37">
                  <c:v>46058</c:v>
                </c:pt>
                <c:pt idx="38">
                  <c:v>46059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46071</c:v>
                </c:pt>
                <c:pt idx="45">
                  <c:v>46072</c:v>
                </c:pt>
                <c:pt idx="46">
                  <c:v>46073</c:v>
                </c:pt>
                <c:pt idx="47">
                  <c:v>46076</c:v>
                </c:pt>
                <c:pt idx="48">
                  <c:v>46077</c:v>
                </c:pt>
                <c:pt idx="49">
                  <c:v>46078</c:v>
                </c:pt>
                <c:pt idx="50">
                  <c:v>46079</c:v>
                </c:pt>
                <c:pt idx="51">
                  <c:v>46080</c:v>
                </c:pt>
                <c:pt idx="52">
                  <c:v>46083</c:v>
                </c:pt>
                <c:pt idx="53">
                  <c:v>46084</c:v>
                </c:pt>
                <c:pt idx="54">
                  <c:v>46085</c:v>
                </c:pt>
                <c:pt idx="55">
                  <c:v>46086</c:v>
                </c:pt>
                <c:pt idx="56">
                  <c:v>46087</c:v>
                </c:pt>
                <c:pt idx="57">
                  <c:v>46090</c:v>
                </c:pt>
                <c:pt idx="58">
                  <c:v>46091</c:v>
                </c:pt>
                <c:pt idx="59">
                  <c:v>46092</c:v>
                </c:pt>
                <c:pt idx="60">
                  <c:v>46093</c:v>
                </c:pt>
                <c:pt idx="61">
                  <c:v>46094</c:v>
                </c:pt>
                <c:pt idx="62">
                  <c:v>46097</c:v>
                </c:pt>
                <c:pt idx="63">
                  <c:v>46098</c:v>
                </c:pt>
              </c:numCache>
            </c:numRef>
          </c:cat>
          <c:val>
            <c:numRef>
              <c:f>'Inflación BE'!$S$21:$S$85</c:f>
              <c:numCache>
                <c:formatCode>0.00%</c:formatCode>
                <c:ptCount val="65"/>
                <c:pt idx="0">
                  <c:v>1.9009452999122933E-2</c:v>
                </c:pt>
                <c:pt idx="1">
                  <c:v>1.9523537178670614E-2</c:v>
                </c:pt>
                <c:pt idx="2">
                  <c:v>1.9172158501711722E-2</c:v>
                </c:pt>
                <c:pt idx="3">
                  <c:v>2.0141859202997603E-2</c:v>
                </c:pt>
                <c:pt idx="4">
                  <c:v>2.0728744054497872E-2</c:v>
                </c:pt>
                <c:pt idx="5">
                  <c:v>2.0859862303045373E-2</c:v>
                </c:pt>
                <c:pt idx="6">
                  <c:v>2.0844073472678248E-2</c:v>
                </c:pt>
                <c:pt idx="7">
                  <c:v>2.0558594902600813E-2</c:v>
                </c:pt>
                <c:pt idx="8">
                  <c:v>2.1290689376368022E-2</c:v>
                </c:pt>
                <c:pt idx="9">
                  <c:v>2.2699019934985909E-2</c:v>
                </c:pt>
                <c:pt idx="10">
                  <c:v>2.187472080327546E-2</c:v>
                </c:pt>
                <c:pt idx="11">
                  <c:v>2.0962703628327528E-2</c:v>
                </c:pt>
                <c:pt idx="12">
                  <c:v>2.1909685664585954E-2</c:v>
                </c:pt>
                <c:pt idx="13">
                  <c:v>2.1642053969822772E-2</c:v>
                </c:pt>
                <c:pt idx="14">
                  <c:v>2.0932043736710204E-2</c:v>
                </c:pt>
                <c:pt idx="15">
                  <c:v>2.0716460328678243E-2</c:v>
                </c:pt>
                <c:pt idx="16">
                  <c:v>2.2210010324367202E-2</c:v>
                </c:pt>
                <c:pt idx="17">
                  <c:v>2.1867602114846285E-2</c:v>
                </c:pt>
                <c:pt idx="18">
                  <c:v>2.3017329288130606E-2</c:v>
                </c:pt>
                <c:pt idx="19">
                  <c:v>2.2681466849102661E-2</c:v>
                </c:pt>
                <c:pt idx="20">
                  <c:v>2.3738211593740788E-2</c:v>
                </c:pt>
                <c:pt idx="21">
                  <c:v>2.3751366172063415E-2</c:v>
                </c:pt>
                <c:pt idx="22">
                  <c:v>2.270022122830051E-2</c:v>
                </c:pt>
                <c:pt idx="23">
                  <c:v>2.3839512259863138E-2</c:v>
                </c:pt>
                <c:pt idx="24">
                  <c:v>2.2605079360666469E-2</c:v>
                </c:pt>
                <c:pt idx="25">
                  <c:v>2.0766766934221081E-2</c:v>
                </c:pt>
                <c:pt idx="26">
                  <c:v>2.1099053085114061E-2</c:v>
                </c:pt>
                <c:pt idx="27">
                  <c:v>2.0241032409474391E-2</c:v>
                </c:pt>
                <c:pt idx="28">
                  <c:v>2.1254148850364807E-2</c:v>
                </c:pt>
                <c:pt idx="29">
                  <c:v>2.1352510207132136E-2</c:v>
                </c:pt>
                <c:pt idx="30">
                  <c:v>2.0288280283467186E-2</c:v>
                </c:pt>
                <c:pt idx="31">
                  <c:v>1.8965761379321044E-2</c:v>
                </c:pt>
                <c:pt idx="32">
                  <c:v>2.0390805977772208E-2</c:v>
                </c:pt>
                <c:pt idx="33">
                  <c:v>2.0639232133398577E-2</c:v>
                </c:pt>
                <c:pt idx="34">
                  <c:v>1.9841239486941165E-2</c:v>
                </c:pt>
                <c:pt idx="35">
                  <c:v>2.1806769015916938E-2</c:v>
                </c:pt>
                <c:pt idx="36">
                  <c:v>2.1265286764231117E-2</c:v>
                </c:pt>
                <c:pt idx="37">
                  <c:v>2.2859722504323221E-2</c:v>
                </c:pt>
                <c:pt idx="38">
                  <c:v>2.360286131523881E-2</c:v>
                </c:pt>
                <c:pt idx="39">
                  <c:v>2.3006987715011418E-2</c:v>
                </c:pt>
                <c:pt idx="40">
                  <c:v>2.4180327793327239E-2</c:v>
                </c:pt>
                <c:pt idx="41">
                  <c:v>2.4063761374320203E-2</c:v>
                </c:pt>
                <c:pt idx="42">
                  <c:v>2.2255101134347255E-2</c:v>
                </c:pt>
                <c:pt idx="43">
                  <c:v>2.3606379091015262E-2</c:v>
                </c:pt>
                <c:pt idx="44">
                  <c:v>2.3155445549613241E-2</c:v>
                </c:pt>
                <c:pt idx="45">
                  <c:v>2.3155484399834059E-2</c:v>
                </c:pt>
                <c:pt idx="46">
                  <c:v>2.3785638132601372E-2</c:v>
                </c:pt>
                <c:pt idx="47">
                  <c:v>2.2901809191195888E-2</c:v>
                </c:pt>
                <c:pt idx="48">
                  <c:v>2.1271043656068356E-2</c:v>
                </c:pt>
                <c:pt idx="49">
                  <c:v>2.2089049586627718E-2</c:v>
                </c:pt>
                <c:pt idx="50">
                  <c:v>2.1156696554071042E-2</c:v>
                </c:pt>
                <c:pt idx="51">
                  <c:v>2.259856913900804E-2</c:v>
                </c:pt>
                <c:pt idx="52">
                  <c:v>2.242615725042052E-2</c:v>
                </c:pt>
                <c:pt idx="53">
                  <c:v>2.3982689438189153E-2</c:v>
                </c:pt>
                <c:pt idx="54">
                  <c:v>2.3265302269450006E-2</c:v>
                </c:pt>
                <c:pt idx="55">
                  <c:v>2.2677314190975739E-2</c:v>
                </c:pt>
                <c:pt idx="56">
                  <c:v>2.4183800971759428E-2</c:v>
                </c:pt>
                <c:pt idx="57">
                  <c:v>2.3406181395477565E-2</c:v>
                </c:pt>
                <c:pt idx="58">
                  <c:v>2.3939114182418342E-2</c:v>
                </c:pt>
                <c:pt idx="59">
                  <c:v>2.2780394084448874E-2</c:v>
                </c:pt>
                <c:pt idx="60">
                  <c:v>2.6340981372066974E-2</c:v>
                </c:pt>
                <c:pt idx="61">
                  <c:v>2.5816771636686164E-2</c:v>
                </c:pt>
                <c:pt idx="62">
                  <c:v>2.4403610976456047E-2</c:v>
                </c:pt>
                <c:pt idx="63">
                  <c:v>2.6470499728362684E-2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8-4EE8-83ED-30BE135E172A}"/>
            </c:ext>
          </c:extLst>
        </c:ser>
        <c:ser>
          <c:idx val="1"/>
          <c:order val="1"/>
          <c:tx>
            <c:v>Implícita a agosto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'Inflación BE'!$A$21:$A$85</c:f>
              <c:numCache>
                <c:formatCode>m/d/yyyy</c:formatCode>
                <c:ptCount val="65"/>
                <c:pt idx="0">
                  <c:v>46002</c:v>
                </c:pt>
                <c:pt idx="1">
                  <c:v>46003</c:v>
                </c:pt>
                <c:pt idx="2">
                  <c:v>46006</c:v>
                </c:pt>
                <c:pt idx="3">
                  <c:v>46007</c:v>
                </c:pt>
                <c:pt idx="4">
                  <c:v>46008</c:v>
                </c:pt>
                <c:pt idx="5">
                  <c:v>46009</c:v>
                </c:pt>
                <c:pt idx="6">
                  <c:v>46010</c:v>
                </c:pt>
                <c:pt idx="7">
                  <c:v>46013</c:v>
                </c:pt>
                <c:pt idx="8">
                  <c:v>46014</c:v>
                </c:pt>
                <c:pt idx="9">
                  <c:v>46015</c:v>
                </c:pt>
                <c:pt idx="10">
                  <c:v>46017</c:v>
                </c:pt>
                <c:pt idx="11">
                  <c:v>46020</c:v>
                </c:pt>
                <c:pt idx="12">
                  <c:v>46021</c:v>
                </c:pt>
                <c:pt idx="13">
                  <c:v>46024</c:v>
                </c:pt>
                <c:pt idx="14">
                  <c:v>46027</c:v>
                </c:pt>
                <c:pt idx="15">
                  <c:v>46028</c:v>
                </c:pt>
                <c:pt idx="16">
                  <c:v>46029</c:v>
                </c:pt>
                <c:pt idx="17">
                  <c:v>46030</c:v>
                </c:pt>
                <c:pt idx="18">
                  <c:v>46031</c:v>
                </c:pt>
                <c:pt idx="19">
                  <c:v>46034</c:v>
                </c:pt>
                <c:pt idx="20">
                  <c:v>46035</c:v>
                </c:pt>
                <c:pt idx="21">
                  <c:v>46036</c:v>
                </c:pt>
                <c:pt idx="22">
                  <c:v>46037</c:v>
                </c:pt>
                <c:pt idx="23">
                  <c:v>46038</c:v>
                </c:pt>
                <c:pt idx="24">
                  <c:v>46041</c:v>
                </c:pt>
                <c:pt idx="25">
                  <c:v>46042</c:v>
                </c:pt>
                <c:pt idx="26">
                  <c:v>46043</c:v>
                </c:pt>
                <c:pt idx="27">
                  <c:v>46044</c:v>
                </c:pt>
                <c:pt idx="28">
                  <c:v>46045</c:v>
                </c:pt>
                <c:pt idx="29">
                  <c:v>46048</c:v>
                </c:pt>
                <c:pt idx="30">
                  <c:v>46049</c:v>
                </c:pt>
                <c:pt idx="31">
                  <c:v>46050</c:v>
                </c:pt>
                <c:pt idx="32">
                  <c:v>46051</c:v>
                </c:pt>
                <c:pt idx="33">
                  <c:v>46052</c:v>
                </c:pt>
                <c:pt idx="34">
                  <c:v>46055</c:v>
                </c:pt>
                <c:pt idx="35">
                  <c:v>46056</c:v>
                </c:pt>
                <c:pt idx="36">
                  <c:v>46057</c:v>
                </c:pt>
                <c:pt idx="37">
                  <c:v>46058</c:v>
                </c:pt>
                <c:pt idx="38">
                  <c:v>46059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46071</c:v>
                </c:pt>
                <c:pt idx="45">
                  <c:v>46072</c:v>
                </c:pt>
                <c:pt idx="46">
                  <c:v>46073</c:v>
                </c:pt>
                <c:pt idx="47">
                  <c:v>46076</c:v>
                </c:pt>
                <c:pt idx="48">
                  <c:v>46077</c:v>
                </c:pt>
                <c:pt idx="49">
                  <c:v>46078</c:v>
                </c:pt>
                <c:pt idx="50">
                  <c:v>46079</c:v>
                </c:pt>
                <c:pt idx="51">
                  <c:v>46080</c:v>
                </c:pt>
                <c:pt idx="52">
                  <c:v>46083</c:v>
                </c:pt>
                <c:pt idx="53">
                  <c:v>46084</c:v>
                </c:pt>
                <c:pt idx="54">
                  <c:v>46085</c:v>
                </c:pt>
                <c:pt idx="55">
                  <c:v>46086</c:v>
                </c:pt>
                <c:pt idx="56">
                  <c:v>46087</c:v>
                </c:pt>
                <c:pt idx="57">
                  <c:v>46090</c:v>
                </c:pt>
                <c:pt idx="58">
                  <c:v>46091</c:v>
                </c:pt>
                <c:pt idx="59">
                  <c:v>46092</c:v>
                </c:pt>
                <c:pt idx="60">
                  <c:v>46093</c:v>
                </c:pt>
                <c:pt idx="61">
                  <c:v>46094</c:v>
                </c:pt>
                <c:pt idx="62">
                  <c:v>46097</c:v>
                </c:pt>
                <c:pt idx="63">
                  <c:v>46098</c:v>
                </c:pt>
              </c:numCache>
            </c:numRef>
          </c:cat>
          <c:val>
            <c:numRef>
              <c:f>'Inflación BE'!$O$21:$O$85</c:f>
              <c:numCache>
                <c:formatCode>0.00%</c:formatCode>
                <c:ptCount val="65"/>
                <c:pt idx="0">
                  <c:v>1.6256948999479715E-2</c:v>
                </c:pt>
                <c:pt idx="1">
                  <c:v>1.6366789905950974E-2</c:v>
                </c:pt>
                <c:pt idx="2">
                  <c:v>1.602078795521078E-2</c:v>
                </c:pt>
                <c:pt idx="3">
                  <c:v>1.7081879457462756E-2</c:v>
                </c:pt>
                <c:pt idx="4">
                  <c:v>1.6534214543343806E-2</c:v>
                </c:pt>
                <c:pt idx="5">
                  <c:v>1.6970340768234893E-2</c:v>
                </c:pt>
                <c:pt idx="6">
                  <c:v>1.73356696397442E-2</c:v>
                </c:pt>
                <c:pt idx="7">
                  <c:v>1.7239401243572816E-2</c:v>
                </c:pt>
                <c:pt idx="8">
                  <c:v>1.7392124616961269E-2</c:v>
                </c:pt>
                <c:pt idx="9">
                  <c:v>1.686468442977751E-2</c:v>
                </c:pt>
                <c:pt idx="10">
                  <c:v>1.7458915832776922E-2</c:v>
                </c:pt>
                <c:pt idx="11">
                  <c:v>1.7159415579660164E-2</c:v>
                </c:pt>
                <c:pt idx="12">
                  <c:v>1.6597845098196506E-2</c:v>
                </c:pt>
                <c:pt idx="13">
                  <c:v>1.7537277380305527E-2</c:v>
                </c:pt>
                <c:pt idx="14">
                  <c:v>1.8277448447805877E-2</c:v>
                </c:pt>
                <c:pt idx="15">
                  <c:v>1.8834326304981497E-2</c:v>
                </c:pt>
                <c:pt idx="16">
                  <c:v>1.8719595768565078E-2</c:v>
                </c:pt>
                <c:pt idx="17">
                  <c:v>1.8674858479752254E-2</c:v>
                </c:pt>
                <c:pt idx="18">
                  <c:v>1.9464323920092674E-2</c:v>
                </c:pt>
                <c:pt idx="19">
                  <c:v>1.9052711432751002E-2</c:v>
                </c:pt>
                <c:pt idx="20">
                  <c:v>1.9401469032087393E-2</c:v>
                </c:pt>
                <c:pt idx="21">
                  <c:v>1.931769102163905E-2</c:v>
                </c:pt>
                <c:pt idx="22">
                  <c:v>1.7933075394632958E-2</c:v>
                </c:pt>
                <c:pt idx="23">
                  <c:v>1.8290391714760323E-2</c:v>
                </c:pt>
                <c:pt idx="24">
                  <c:v>1.7117573560695432E-2</c:v>
                </c:pt>
                <c:pt idx="25">
                  <c:v>1.7153165164148776E-2</c:v>
                </c:pt>
                <c:pt idx="26">
                  <c:v>1.7818868141312283E-2</c:v>
                </c:pt>
                <c:pt idx="27">
                  <c:v>1.8385318205786039E-2</c:v>
                </c:pt>
                <c:pt idx="28">
                  <c:v>1.8223991714900745E-2</c:v>
                </c:pt>
                <c:pt idx="29">
                  <c:v>1.8053100329157967E-2</c:v>
                </c:pt>
                <c:pt idx="30">
                  <c:v>1.8290333735123232E-2</c:v>
                </c:pt>
                <c:pt idx="31">
                  <c:v>1.7755269456025458E-2</c:v>
                </c:pt>
                <c:pt idx="32">
                  <c:v>1.7621454684667359E-2</c:v>
                </c:pt>
                <c:pt idx="33">
                  <c:v>1.7476546372344748E-2</c:v>
                </c:pt>
                <c:pt idx="34">
                  <c:v>1.7162677473158139E-2</c:v>
                </c:pt>
                <c:pt idx="35">
                  <c:v>1.7936297367856957E-2</c:v>
                </c:pt>
                <c:pt idx="36">
                  <c:v>1.8564361929942486E-2</c:v>
                </c:pt>
                <c:pt idx="37">
                  <c:v>1.9189013231659668E-2</c:v>
                </c:pt>
                <c:pt idx="38">
                  <c:v>1.9886165732858618E-2</c:v>
                </c:pt>
                <c:pt idx="39">
                  <c:v>2.0353047688171699E-2</c:v>
                </c:pt>
                <c:pt idx="40">
                  <c:v>2.0544902312576552E-2</c:v>
                </c:pt>
                <c:pt idx="41">
                  <c:v>1.9737949217747852E-2</c:v>
                </c:pt>
                <c:pt idx="42">
                  <c:v>1.8575274216738658E-2</c:v>
                </c:pt>
                <c:pt idx="43">
                  <c:v>1.7909539954482856E-2</c:v>
                </c:pt>
                <c:pt idx="44">
                  <c:v>1.7840700266817056E-2</c:v>
                </c:pt>
                <c:pt idx="45">
                  <c:v>1.763579640938584E-2</c:v>
                </c:pt>
                <c:pt idx="46">
                  <c:v>1.6957452954896812E-2</c:v>
                </c:pt>
                <c:pt idx="47">
                  <c:v>1.7297567503088196E-2</c:v>
                </c:pt>
                <c:pt idx="48">
                  <c:v>1.7007712962168187E-2</c:v>
                </c:pt>
                <c:pt idx="49">
                  <c:v>1.7328840916525534E-2</c:v>
                </c:pt>
                <c:pt idx="50">
                  <c:v>1.7565916970191608E-2</c:v>
                </c:pt>
                <c:pt idx="51">
                  <c:v>1.8856146364859327E-2</c:v>
                </c:pt>
                <c:pt idx="52">
                  <c:v>1.7457996806895748E-2</c:v>
                </c:pt>
                <c:pt idx="53">
                  <c:v>1.791468732614887E-2</c:v>
                </c:pt>
                <c:pt idx="54">
                  <c:v>1.8368198561580229E-2</c:v>
                </c:pt>
                <c:pt idx="55">
                  <c:v>1.9305824096686575E-2</c:v>
                </c:pt>
                <c:pt idx="56">
                  <c:v>1.947420347666684E-2</c:v>
                </c:pt>
                <c:pt idx="57">
                  <c:v>1.9734155195027636E-2</c:v>
                </c:pt>
                <c:pt idx="58">
                  <c:v>1.9613378403174009E-2</c:v>
                </c:pt>
                <c:pt idx="59">
                  <c:v>1.9084210650165412E-2</c:v>
                </c:pt>
                <c:pt idx="60">
                  <c:v>2.0302091010369949E-2</c:v>
                </c:pt>
                <c:pt idx="61">
                  <c:v>1.9842942081410797E-2</c:v>
                </c:pt>
                <c:pt idx="62">
                  <c:v>2.0866789979764766E-2</c:v>
                </c:pt>
                <c:pt idx="63">
                  <c:v>2.0990834875454389E-2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58-4EE8-83ED-30BE135E172A}"/>
            </c:ext>
          </c:extLst>
        </c:ser>
        <c:ser>
          <c:idx val="2"/>
          <c:order val="2"/>
          <c:tx>
            <c:v>Implícita a abril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'Inflación BE'!$A$21:$A$85</c:f>
              <c:numCache>
                <c:formatCode>m/d/yyyy</c:formatCode>
                <c:ptCount val="65"/>
                <c:pt idx="0">
                  <c:v>46002</c:v>
                </c:pt>
                <c:pt idx="1">
                  <c:v>46003</c:v>
                </c:pt>
                <c:pt idx="2">
                  <c:v>46006</c:v>
                </c:pt>
                <c:pt idx="3">
                  <c:v>46007</c:v>
                </c:pt>
                <c:pt idx="4">
                  <c:v>46008</c:v>
                </c:pt>
                <c:pt idx="5">
                  <c:v>46009</c:v>
                </c:pt>
                <c:pt idx="6">
                  <c:v>46010</c:v>
                </c:pt>
                <c:pt idx="7">
                  <c:v>46013</c:v>
                </c:pt>
                <c:pt idx="8">
                  <c:v>46014</c:v>
                </c:pt>
                <c:pt idx="9">
                  <c:v>46015</c:v>
                </c:pt>
                <c:pt idx="10">
                  <c:v>46017</c:v>
                </c:pt>
                <c:pt idx="11">
                  <c:v>46020</c:v>
                </c:pt>
                <c:pt idx="12">
                  <c:v>46021</c:v>
                </c:pt>
                <c:pt idx="13">
                  <c:v>46024</c:v>
                </c:pt>
                <c:pt idx="14">
                  <c:v>46027</c:v>
                </c:pt>
                <c:pt idx="15">
                  <c:v>46028</c:v>
                </c:pt>
                <c:pt idx="16">
                  <c:v>46029</c:v>
                </c:pt>
                <c:pt idx="17">
                  <c:v>46030</c:v>
                </c:pt>
                <c:pt idx="18">
                  <c:v>46031</c:v>
                </c:pt>
                <c:pt idx="19">
                  <c:v>46034</c:v>
                </c:pt>
                <c:pt idx="20">
                  <c:v>46035</c:v>
                </c:pt>
                <c:pt idx="21">
                  <c:v>46036</c:v>
                </c:pt>
                <c:pt idx="22">
                  <c:v>46037</c:v>
                </c:pt>
                <c:pt idx="23">
                  <c:v>46038</c:v>
                </c:pt>
                <c:pt idx="24">
                  <c:v>46041</c:v>
                </c:pt>
                <c:pt idx="25">
                  <c:v>46042</c:v>
                </c:pt>
                <c:pt idx="26">
                  <c:v>46043</c:v>
                </c:pt>
                <c:pt idx="27">
                  <c:v>46044</c:v>
                </c:pt>
                <c:pt idx="28">
                  <c:v>46045</c:v>
                </c:pt>
                <c:pt idx="29">
                  <c:v>46048</c:v>
                </c:pt>
                <c:pt idx="30">
                  <c:v>46049</c:v>
                </c:pt>
                <c:pt idx="31">
                  <c:v>46050</c:v>
                </c:pt>
                <c:pt idx="32">
                  <c:v>46051</c:v>
                </c:pt>
                <c:pt idx="33">
                  <c:v>46052</c:v>
                </c:pt>
                <c:pt idx="34">
                  <c:v>46055</c:v>
                </c:pt>
                <c:pt idx="35">
                  <c:v>46056</c:v>
                </c:pt>
                <c:pt idx="36">
                  <c:v>46057</c:v>
                </c:pt>
                <c:pt idx="37">
                  <c:v>46058</c:v>
                </c:pt>
                <c:pt idx="38">
                  <c:v>46059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46071</c:v>
                </c:pt>
                <c:pt idx="45">
                  <c:v>46072</c:v>
                </c:pt>
                <c:pt idx="46">
                  <c:v>46073</c:v>
                </c:pt>
                <c:pt idx="47">
                  <c:v>46076</c:v>
                </c:pt>
                <c:pt idx="48">
                  <c:v>46077</c:v>
                </c:pt>
                <c:pt idx="49">
                  <c:v>46078</c:v>
                </c:pt>
                <c:pt idx="50">
                  <c:v>46079</c:v>
                </c:pt>
                <c:pt idx="51">
                  <c:v>46080</c:v>
                </c:pt>
                <c:pt idx="52">
                  <c:v>46083</c:v>
                </c:pt>
                <c:pt idx="53">
                  <c:v>46084</c:v>
                </c:pt>
                <c:pt idx="54">
                  <c:v>46085</c:v>
                </c:pt>
                <c:pt idx="55">
                  <c:v>46086</c:v>
                </c:pt>
                <c:pt idx="56">
                  <c:v>46087</c:v>
                </c:pt>
                <c:pt idx="57">
                  <c:v>46090</c:v>
                </c:pt>
                <c:pt idx="58">
                  <c:v>46091</c:v>
                </c:pt>
                <c:pt idx="59">
                  <c:v>46092</c:v>
                </c:pt>
                <c:pt idx="60">
                  <c:v>46093</c:v>
                </c:pt>
                <c:pt idx="61">
                  <c:v>46094</c:v>
                </c:pt>
                <c:pt idx="62">
                  <c:v>46097</c:v>
                </c:pt>
                <c:pt idx="63">
                  <c:v>46098</c:v>
                </c:pt>
              </c:numCache>
            </c:numRef>
          </c:cat>
          <c:val>
            <c:numRef>
              <c:f>'Inflación BE'!$K$21:$K$85</c:f>
              <c:numCache>
                <c:formatCode>0.00%</c:formatCode>
                <c:ptCount val="65"/>
                <c:pt idx="0">
                  <c:v>1.8663160584826199E-2</c:v>
                </c:pt>
                <c:pt idx="1">
                  <c:v>1.9356799836007799E-2</c:v>
                </c:pt>
                <c:pt idx="2">
                  <c:v>2.022290055197562E-2</c:v>
                </c:pt>
                <c:pt idx="3">
                  <c:v>1.9751384111374337E-2</c:v>
                </c:pt>
                <c:pt idx="4">
                  <c:v>2.0074645102712951E-2</c:v>
                </c:pt>
                <c:pt idx="5">
                  <c:v>2.0902741224333443E-2</c:v>
                </c:pt>
                <c:pt idx="6">
                  <c:v>2.1113910987464068E-2</c:v>
                </c:pt>
                <c:pt idx="7">
                  <c:v>2.1107371196089408E-2</c:v>
                </c:pt>
                <c:pt idx="8">
                  <c:v>2.1023058611289169E-2</c:v>
                </c:pt>
                <c:pt idx="9">
                  <c:v>2.1462409321183928E-2</c:v>
                </c:pt>
                <c:pt idx="10">
                  <c:v>2.1151098083751263E-2</c:v>
                </c:pt>
                <c:pt idx="11">
                  <c:v>2.0129195263473232E-2</c:v>
                </c:pt>
                <c:pt idx="12">
                  <c:v>2.0767510557470503E-2</c:v>
                </c:pt>
                <c:pt idx="13">
                  <c:v>2.0475292865977268E-2</c:v>
                </c:pt>
                <c:pt idx="14">
                  <c:v>2.0383259911489704E-2</c:v>
                </c:pt>
                <c:pt idx="15">
                  <c:v>2.0509184376122036E-2</c:v>
                </c:pt>
                <c:pt idx="16">
                  <c:v>2.1016224156944041E-2</c:v>
                </c:pt>
                <c:pt idx="17">
                  <c:v>2.119686016082678E-2</c:v>
                </c:pt>
                <c:pt idx="18">
                  <c:v>2.2629813240067298E-2</c:v>
                </c:pt>
                <c:pt idx="19">
                  <c:v>2.2899614699035453E-2</c:v>
                </c:pt>
                <c:pt idx="20">
                  <c:v>2.3098296147545438E-2</c:v>
                </c:pt>
                <c:pt idx="21">
                  <c:v>2.2861791464725334E-2</c:v>
                </c:pt>
                <c:pt idx="22">
                  <c:v>2.2212584565172389E-2</c:v>
                </c:pt>
                <c:pt idx="23">
                  <c:v>2.2590643512484965E-2</c:v>
                </c:pt>
                <c:pt idx="24">
                  <c:v>2.0857953539864971E-2</c:v>
                </c:pt>
                <c:pt idx="25">
                  <c:v>2.104538595849359E-2</c:v>
                </c:pt>
                <c:pt idx="26">
                  <c:v>2.06050723077702E-2</c:v>
                </c:pt>
                <c:pt idx="27">
                  <c:v>2.0631263883812423E-2</c:v>
                </c:pt>
                <c:pt idx="28">
                  <c:v>2.1170946392950807E-2</c:v>
                </c:pt>
                <c:pt idx="29">
                  <c:v>2.1302339859362585E-2</c:v>
                </c:pt>
                <c:pt idx="30">
                  <c:v>2.0887263793245792E-2</c:v>
                </c:pt>
                <c:pt idx="31">
                  <c:v>2.0988000361682246E-2</c:v>
                </c:pt>
                <c:pt idx="32">
                  <c:v>2.003222358399781E-2</c:v>
                </c:pt>
                <c:pt idx="33">
                  <c:v>2.0191805056376522E-2</c:v>
                </c:pt>
                <c:pt idx="34">
                  <c:v>2.0078439911248802E-2</c:v>
                </c:pt>
                <c:pt idx="35">
                  <c:v>2.0633688693750818E-2</c:v>
                </c:pt>
                <c:pt idx="36">
                  <c:v>2.1090568250058395E-2</c:v>
                </c:pt>
                <c:pt idx="37">
                  <c:v>2.2808267108046953E-2</c:v>
                </c:pt>
                <c:pt idx="38">
                  <c:v>2.32605486589188E-2</c:v>
                </c:pt>
                <c:pt idx="39">
                  <c:v>2.3465099998379646E-2</c:v>
                </c:pt>
                <c:pt idx="40">
                  <c:v>2.3810135121743459E-2</c:v>
                </c:pt>
                <c:pt idx="41">
                  <c:v>2.4050537307530595E-2</c:v>
                </c:pt>
                <c:pt idx="42">
                  <c:v>2.1233805412118167E-2</c:v>
                </c:pt>
                <c:pt idx="43">
                  <c:v>2.1754455266396633E-2</c:v>
                </c:pt>
                <c:pt idx="44">
                  <c:v>2.0956436181811533E-2</c:v>
                </c:pt>
                <c:pt idx="45">
                  <c:v>2.2409066219590379E-2</c:v>
                </c:pt>
                <c:pt idx="46">
                  <c:v>2.2221421337206948E-2</c:v>
                </c:pt>
                <c:pt idx="47">
                  <c:v>2.1598776887132631E-2</c:v>
                </c:pt>
                <c:pt idx="48">
                  <c:v>2.0649552752074918E-2</c:v>
                </c:pt>
                <c:pt idx="49">
                  <c:v>2.0819716512395336E-2</c:v>
                </c:pt>
                <c:pt idx="50">
                  <c:v>2.1296620367713848E-2</c:v>
                </c:pt>
                <c:pt idx="51">
                  <c:v>2.1128934589721649E-2</c:v>
                </c:pt>
                <c:pt idx="52">
                  <c:v>2.0463143041044241E-2</c:v>
                </c:pt>
                <c:pt idx="53">
                  <c:v>2.1543593795182892E-2</c:v>
                </c:pt>
                <c:pt idx="54">
                  <c:v>2.2320294465061119E-2</c:v>
                </c:pt>
                <c:pt idx="55">
                  <c:v>2.200823610550362E-2</c:v>
                </c:pt>
                <c:pt idx="56">
                  <c:v>2.2719407238763312E-2</c:v>
                </c:pt>
                <c:pt idx="57">
                  <c:v>2.2565246934736827E-2</c:v>
                </c:pt>
                <c:pt idx="58">
                  <c:v>2.2702299504200774E-2</c:v>
                </c:pt>
                <c:pt idx="59">
                  <c:v>2.234037686401158E-2</c:v>
                </c:pt>
                <c:pt idx="60">
                  <c:v>2.4214274765063992E-2</c:v>
                </c:pt>
                <c:pt idx="61">
                  <c:v>2.4450253935400124E-2</c:v>
                </c:pt>
                <c:pt idx="62">
                  <c:v>2.5383341395695203E-2</c:v>
                </c:pt>
                <c:pt idx="63">
                  <c:v>2.5127446060128289E-2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58-4EE8-83ED-30BE135E1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678320"/>
        <c:axId val="97663920"/>
      </c:lineChart>
      <c:dateAx>
        <c:axId val="976783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7663920"/>
        <c:crosses val="autoZero"/>
        <c:auto val="1"/>
        <c:lblOffset val="100"/>
        <c:baseTimeUnit val="days"/>
      </c:dateAx>
      <c:valAx>
        <c:axId val="97663920"/>
        <c:scaling>
          <c:orientation val="minMax"/>
          <c:min val="1.50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7678320"/>
        <c:crosses val="autoZero"/>
        <c:crossBetween val="between"/>
        <c:majorUnit val="2.0000000000000005E-3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384045489784634"/>
          <c:y val="7.3345586749018338E-2"/>
          <c:w val="0.56685135689140942"/>
          <c:h val="4.5010264256971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835B08-4384-4CC3-9BD5-B4FF04904276}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2B487BA-F66C-40D4-9C12-27A8B51E43BB}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6F29B2-CF5A-4235-97AD-5D096A4B78D1}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EC6BDA3-5286-4549-8F3B-7F3AB5F20569}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7154F6D-6AE5-4B61-BD18-4C94C7084D26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7B67B7-A210-7B0A-ECD2-5AF2B57C806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109341-1286-1B3E-24B4-8A99F46AEF7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0.96142</cdr:y>
    </cdr:from>
    <cdr:to>
      <cdr:x>0.49524</cdr:x>
      <cdr:y>0.99937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6D393C8A-1757-C305-7E6C-D598A249B4CD}"/>
            </a:ext>
          </a:extLst>
        </cdr:cNvPr>
        <cdr:cNvSpPr txBox="1"/>
      </cdr:nvSpPr>
      <cdr:spPr>
        <a:xfrm xmlns:a="http://schemas.openxmlformats.org/drawingml/2006/main">
          <a:off x="0" y="7019636"/>
          <a:ext cx="5530273" cy="2770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400" b="1" kern="1200">
              <a:solidFill>
                <a:schemeClr val="accent2"/>
              </a:solidFill>
            </a:rPr>
            <a:t>Fuente:</a:t>
          </a:r>
          <a:r>
            <a:rPr lang="es-AR" sz="1400" b="1" kern="1200" baseline="0">
              <a:solidFill>
                <a:schemeClr val="accent2"/>
              </a:solidFill>
            </a:rPr>
            <a:t> Eco Go en base a Bloomberg</a:t>
          </a:r>
          <a:endParaRPr lang="es-AR" sz="1400" b="1" kern="1200">
            <a:solidFill>
              <a:schemeClr val="accent2"/>
            </a:solidFill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84F56A-47D9-D2C3-6930-CDA706C434D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0.00414</cdr:x>
      <cdr:y>0.94301</cdr:y>
    </cdr:from>
    <cdr:to>
      <cdr:x>0.70109</cdr:x>
      <cdr:y>0.99525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4AA1FE3A-8C96-68A1-869F-60AB781C662A}"/>
            </a:ext>
          </a:extLst>
        </cdr:cNvPr>
        <cdr:cNvSpPr txBox="1"/>
      </cdr:nvSpPr>
      <cdr:spPr>
        <a:xfrm xmlns:a="http://schemas.openxmlformats.org/drawingml/2006/main">
          <a:off x="38465" y="5715000"/>
          <a:ext cx="6475406" cy="3165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200" b="1" kern="1200">
              <a:solidFill>
                <a:schemeClr val="accent2"/>
              </a:solidFill>
            </a:rPr>
            <a:t>Fuente: Eco Go</a:t>
          </a:r>
          <a:r>
            <a:rPr lang="es-AR" sz="1200" b="1" kern="1200" baseline="0">
              <a:solidFill>
                <a:schemeClr val="accent2"/>
              </a:solidFill>
            </a:rPr>
            <a:t> en base a BCRA, Bloomberg y estimaciones propias</a:t>
          </a:r>
          <a:endParaRPr lang="es-AR" sz="1200" b="1" kern="1200">
            <a:solidFill>
              <a:schemeClr val="accent2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B47D4D-B8F9-D65A-612B-8E971D4FFE2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0.0024</cdr:x>
      <cdr:y>0.94301</cdr:y>
    </cdr:from>
    <cdr:to>
      <cdr:x>0.38489</cdr:x>
      <cdr:y>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648D9F61-586C-F557-D524-14B4F3DF1A47}"/>
            </a:ext>
          </a:extLst>
        </cdr:cNvPr>
        <cdr:cNvSpPr txBox="1"/>
      </cdr:nvSpPr>
      <cdr:spPr>
        <a:xfrm xmlns:a="http://schemas.openxmlformats.org/drawingml/2006/main">
          <a:off x="22281" y="5715000"/>
          <a:ext cx="3553772" cy="3453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100" b="1" kern="1200">
              <a:solidFill>
                <a:schemeClr val="accent2"/>
              </a:solidFill>
            </a:rPr>
            <a:t>Fuente:</a:t>
          </a:r>
          <a:r>
            <a:rPr lang="es-AR" sz="1100" b="1" kern="1200" baseline="0">
              <a:solidFill>
                <a:schemeClr val="accent2"/>
              </a:solidFill>
            </a:rPr>
            <a:t> Eco Go en base a BCRA y Bloomberg</a:t>
          </a:r>
          <a:endParaRPr lang="es-AR" sz="1100" b="1" kern="1200">
            <a:solidFill>
              <a:schemeClr val="accent2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D46BD2-BE54-A3DB-6E3A-D312D7116D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cogos-my.sharepoint.com/personal/storage_ecogos_onmicrosoft_com/Documents/BD/Mercados/Inflacion%20breakeven/CER_implicito.xlsx" TargetMode="External"/><Relationship Id="rId1" Type="http://schemas.openxmlformats.org/officeDocument/2006/relationships/externalLinkPath" Target="CER_implicito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ecios/IPC%20TODESCA.xlsx" TargetMode="External"/><Relationship Id="rId2" Type="http://schemas.openxmlformats.org/officeDocument/2006/relationships/externalLinkPath" Target="https://ecogos-my.sharepoint.com/personal/storage_ecogos_onmicrosoft_com/Documents/BD/Precios/IPC%20TODESCA.xlsx" TargetMode="External"/><Relationship Id="rId1" Type="http://schemas.openxmlformats.org/officeDocument/2006/relationships/externalLinkPath" Target="/personal/storage_ecogos_onmicrosoft_com/Documents/BD/Precios/IPC%20TODESCA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oyecciones%20Bein/Proyecciones%20Bein/Escenario%20Base%20estudio.xlsx" TargetMode="External"/><Relationship Id="rId2" Type="http://schemas.openxmlformats.org/officeDocument/2006/relationships/externalLinkPath" Target="https://ecogos-my.sharepoint.com/personal/storage_ecogos_onmicrosoft_com/Documents/BD/Proyecciones%20Bein/Proyecciones%20Bein/Escenario%20Base%20estudio.xlsx" TargetMode="External"/><Relationship Id="rId1" Type="http://schemas.openxmlformats.org/officeDocument/2006/relationships/externalLinkPath" Target="/personal/storage_ecogos_onmicrosoft_com/Documents/BD/Proyecciones%20Bein/Proyecciones%20Bein/Escenario%20Base%20estud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R_implicito"/>
    </sheetNames>
    <sheetDataSet>
      <sheetData sheetId="0">
        <row r="1">
          <cell r="A1" t="str">
            <v>Date</v>
          </cell>
          <cell r="B1" t="str">
            <v>CER_TZXD5</v>
          </cell>
          <cell r="C1" t="str">
            <v>CER_TZXM6_S17A7</v>
          </cell>
          <cell r="D1" t="str">
            <v>CER_TZX26</v>
          </cell>
          <cell r="E1" t="str">
            <v>CER_TZXM7</v>
          </cell>
          <cell r="F1" t="str">
            <v>CER_TZXO6</v>
          </cell>
          <cell r="G1" t="str">
            <v>CER_X29Y6</v>
          </cell>
          <cell r="H1" t="str">
            <v>CER_X15Y6</v>
          </cell>
          <cell r="I1" t="str">
            <v>CER_X31L6</v>
          </cell>
          <cell r="J1" t="str">
            <v>CER_X30S6</v>
          </cell>
          <cell r="K1" t="str">
            <v>CER_X30N6</v>
          </cell>
        </row>
        <row r="2">
          <cell r="A2">
            <v>45351</v>
          </cell>
        </row>
        <row r="3">
          <cell r="A3">
            <v>45352</v>
          </cell>
        </row>
        <row r="4">
          <cell r="A4">
            <v>45355</v>
          </cell>
        </row>
        <row r="5">
          <cell r="A5">
            <v>45356</v>
          </cell>
        </row>
        <row r="6">
          <cell r="A6">
            <v>45357</v>
          </cell>
        </row>
        <row r="7">
          <cell r="A7">
            <v>45358</v>
          </cell>
        </row>
        <row r="8">
          <cell r="A8">
            <v>45359</v>
          </cell>
        </row>
        <row r="9">
          <cell r="A9">
            <v>45362</v>
          </cell>
        </row>
        <row r="10">
          <cell r="A10">
            <v>45363</v>
          </cell>
        </row>
        <row r="11">
          <cell r="A11">
            <v>45364</v>
          </cell>
        </row>
        <row r="12">
          <cell r="A12">
            <v>45365</v>
          </cell>
        </row>
        <row r="13">
          <cell r="A13">
            <v>45366</v>
          </cell>
        </row>
        <row r="14">
          <cell r="A14">
            <v>45369</v>
          </cell>
        </row>
        <row r="15">
          <cell r="A15">
            <v>45370</v>
          </cell>
        </row>
        <row r="16">
          <cell r="A16">
            <v>45371</v>
          </cell>
        </row>
        <row r="17">
          <cell r="A17">
            <v>45372</v>
          </cell>
        </row>
        <row r="18">
          <cell r="A18">
            <v>45373</v>
          </cell>
        </row>
        <row r="19">
          <cell r="A19">
            <v>45376</v>
          </cell>
        </row>
        <row r="20">
          <cell r="A20">
            <v>45377</v>
          </cell>
        </row>
        <row r="21">
          <cell r="A21">
            <v>45378</v>
          </cell>
        </row>
        <row r="22">
          <cell r="A22">
            <v>45385</v>
          </cell>
        </row>
        <row r="23">
          <cell r="A23">
            <v>45386</v>
          </cell>
        </row>
        <row r="24">
          <cell r="A24">
            <v>45387</v>
          </cell>
        </row>
        <row r="25">
          <cell r="A25">
            <v>45390</v>
          </cell>
        </row>
        <row r="26">
          <cell r="A26">
            <v>45391</v>
          </cell>
        </row>
        <row r="27">
          <cell r="A27">
            <v>45392</v>
          </cell>
        </row>
        <row r="28">
          <cell r="A28">
            <v>45393</v>
          </cell>
        </row>
        <row r="29">
          <cell r="A29">
            <v>45394</v>
          </cell>
        </row>
        <row r="30">
          <cell r="A30">
            <v>45397</v>
          </cell>
        </row>
        <row r="31">
          <cell r="A31">
            <v>45398</v>
          </cell>
        </row>
        <row r="32">
          <cell r="A32">
            <v>45399</v>
          </cell>
        </row>
        <row r="33">
          <cell r="A33">
            <v>45400</v>
          </cell>
        </row>
        <row r="34">
          <cell r="A34">
            <v>45401</v>
          </cell>
        </row>
        <row r="35">
          <cell r="A35">
            <v>45404</v>
          </cell>
        </row>
        <row r="36">
          <cell r="A36">
            <v>45405</v>
          </cell>
        </row>
        <row r="37">
          <cell r="A37">
            <v>45406</v>
          </cell>
        </row>
        <row r="38">
          <cell r="A38">
            <v>45407</v>
          </cell>
        </row>
        <row r="39">
          <cell r="A39">
            <v>45408</v>
          </cell>
        </row>
        <row r="40">
          <cell r="A40">
            <v>45411</v>
          </cell>
        </row>
        <row r="41">
          <cell r="A41">
            <v>45412</v>
          </cell>
        </row>
        <row r="42">
          <cell r="A42">
            <v>45414</v>
          </cell>
        </row>
        <row r="43">
          <cell r="A43">
            <v>45415</v>
          </cell>
        </row>
        <row r="44">
          <cell r="A44">
            <v>45418</v>
          </cell>
        </row>
        <row r="45">
          <cell r="A45">
            <v>45419</v>
          </cell>
        </row>
        <row r="46">
          <cell r="A46">
            <v>45420</v>
          </cell>
        </row>
        <row r="47">
          <cell r="A47">
            <v>45421</v>
          </cell>
        </row>
        <row r="48">
          <cell r="A48">
            <v>45422</v>
          </cell>
        </row>
        <row r="49">
          <cell r="A49">
            <v>45425</v>
          </cell>
        </row>
        <row r="50">
          <cell r="A50">
            <v>45426</v>
          </cell>
        </row>
        <row r="51">
          <cell r="A51">
            <v>45427</v>
          </cell>
        </row>
        <row r="52">
          <cell r="A52">
            <v>45428</v>
          </cell>
        </row>
        <row r="53">
          <cell r="A53">
            <v>45429</v>
          </cell>
        </row>
        <row r="54">
          <cell r="A54">
            <v>45432</v>
          </cell>
        </row>
        <row r="55">
          <cell r="A55">
            <v>45433</v>
          </cell>
        </row>
        <row r="56">
          <cell r="A56">
            <v>45434</v>
          </cell>
        </row>
        <row r="57">
          <cell r="A57">
            <v>45435</v>
          </cell>
        </row>
        <row r="58">
          <cell r="A58">
            <v>45436</v>
          </cell>
        </row>
        <row r="59">
          <cell r="A59">
            <v>45439</v>
          </cell>
        </row>
        <row r="60">
          <cell r="A60">
            <v>45440</v>
          </cell>
        </row>
        <row r="61">
          <cell r="A61">
            <v>45441</v>
          </cell>
        </row>
        <row r="62">
          <cell r="A62">
            <v>45442</v>
          </cell>
        </row>
        <row r="63">
          <cell r="A63">
            <v>45443</v>
          </cell>
        </row>
        <row r="64">
          <cell r="A64">
            <v>45446</v>
          </cell>
        </row>
        <row r="65">
          <cell r="A65">
            <v>45447</v>
          </cell>
        </row>
        <row r="66">
          <cell r="A66">
            <v>45448</v>
          </cell>
        </row>
        <row r="67">
          <cell r="A67">
            <v>45449</v>
          </cell>
        </row>
        <row r="68">
          <cell r="A68">
            <v>45450</v>
          </cell>
        </row>
        <row r="69">
          <cell r="A69">
            <v>45453</v>
          </cell>
        </row>
        <row r="70">
          <cell r="A70">
            <v>45454</v>
          </cell>
        </row>
        <row r="71">
          <cell r="A71">
            <v>45455</v>
          </cell>
        </row>
        <row r="72">
          <cell r="A72">
            <v>45456</v>
          </cell>
        </row>
        <row r="73">
          <cell r="A73">
            <v>45457</v>
          </cell>
        </row>
        <row r="74">
          <cell r="A74">
            <v>45461</v>
          </cell>
        </row>
        <row r="75">
          <cell r="A75">
            <v>45462</v>
          </cell>
        </row>
        <row r="76">
          <cell r="A76">
            <v>45467</v>
          </cell>
        </row>
        <row r="77">
          <cell r="A77">
            <v>45468</v>
          </cell>
        </row>
        <row r="78">
          <cell r="A78">
            <v>45469</v>
          </cell>
        </row>
        <row r="79">
          <cell r="A79">
            <v>45470</v>
          </cell>
        </row>
        <row r="80">
          <cell r="A80">
            <v>45471</v>
          </cell>
        </row>
        <row r="81">
          <cell r="A81">
            <v>45474</v>
          </cell>
        </row>
        <row r="82">
          <cell r="A82">
            <v>45475</v>
          </cell>
        </row>
        <row r="83">
          <cell r="A83">
            <v>45476</v>
          </cell>
        </row>
        <row r="84">
          <cell r="A84">
            <v>45477</v>
          </cell>
        </row>
        <row r="85">
          <cell r="A85">
            <v>45478</v>
          </cell>
        </row>
        <row r="86">
          <cell r="A86">
            <v>45481</v>
          </cell>
        </row>
        <row r="87">
          <cell r="A87">
            <v>45483</v>
          </cell>
        </row>
        <row r="88">
          <cell r="A88">
            <v>45484</v>
          </cell>
        </row>
        <row r="89">
          <cell r="A89">
            <v>45485</v>
          </cell>
        </row>
        <row r="90">
          <cell r="A90">
            <v>45488</v>
          </cell>
        </row>
        <row r="91">
          <cell r="A91">
            <v>45489</v>
          </cell>
        </row>
        <row r="92">
          <cell r="A92">
            <v>45490</v>
          </cell>
        </row>
        <row r="93">
          <cell r="A93">
            <v>45491</v>
          </cell>
        </row>
        <row r="94">
          <cell r="A94">
            <v>45492</v>
          </cell>
        </row>
        <row r="95">
          <cell r="A95">
            <v>45495</v>
          </cell>
        </row>
        <row r="96">
          <cell r="A96">
            <v>45496</v>
          </cell>
        </row>
        <row r="97">
          <cell r="A97">
            <v>45497</v>
          </cell>
        </row>
        <row r="98">
          <cell r="A98">
            <v>45498</v>
          </cell>
        </row>
        <row r="99">
          <cell r="A99">
            <v>45499</v>
          </cell>
        </row>
        <row r="100">
          <cell r="A100">
            <v>45502</v>
          </cell>
        </row>
        <row r="101">
          <cell r="A101">
            <v>45503</v>
          </cell>
        </row>
        <row r="102">
          <cell r="A102">
            <v>45504</v>
          </cell>
        </row>
        <row r="103">
          <cell r="A103">
            <v>45505</v>
          </cell>
        </row>
        <row r="104">
          <cell r="A104">
            <v>45506</v>
          </cell>
        </row>
        <row r="105">
          <cell r="A105">
            <v>45509</v>
          </cell>
        </row>
        <row r="106">
          <cell r="A106">
            <v>45510</v>
          </cell>
        </row>
        <row r="107">
          <cell r="A107">
            <v>45511</v>
          </cell>
        </row>
        <row r="108">
          <cell r="A108">
            <v>45512</v>
          </cell>
        </row>
        <row r="109">
          <cell r="A109">
            <v>45513</v>
          </cell>
        </row>
        <row r="110">
          <cell r="A110">
            <v>45516</v>
          </cell>
        </row>
        <row r="111">
          <cell r="A111">
            <v>45517</v>
          </cell>
        </row>
        <row r="112">
          <cell r="A112">
            <v>45518</v>
          </cell>
        </row>
        <row r="113">
          <cell r="A113">
            <v>45519</v>
          </cell>
        </row>
        <row r="114">
          <cell r="A114">
            <v>45520</v>
          </cell>
        </row>
        <row r="115">
          <cell r="A115">
            <v>45523</v>
          </cell>
        </row>
        <row r="116">
          <cell r="A116">
            <v>45524</v>
          </cell>
        </row>
        <row r="117">
          <cell r="A117">
            <v>45525</v>
          </cell>
        </row>
        <row r="118">
          <cell r="A118">
            <v>45526</v>
          </cell>
        </row>
        <row r="119">
          <cell r="A119">
            <v>45527</v>
          </cell>
        </row>
        <row r="120">
          <cell r="A120">
            <v>45530</v>
          </cell>
        </row>
        <row r="121">
          <cell r="A121">
            <v>45531</v>
          </cell>
        </row>
        <row r="122">
          <cell r="A122">
            <v>45532</v>
          </cell>
        </row>
        <row r="123">
          <cell r="A123">
            <v>45533</v>
          </cell>
        </row>
        <row r="124">
          <cell r="A124">
            <v>45534</v>
          </cell>
        </row>
        <row r="125">
          <cell r="A125">
            <v>45537</v>
          </cell>
        </row>
        <row r="126">
          <cell r="A126">
            <v>45538</v>
          </cell>
        </row>
        <row r="127">
          <cell r="A127">
            <v>45539</v>
          </cell>
        </row>
        <row r="128">
          <cell r="A128">
            <v>45540</v>
          </cell>
        </row>
        <row r="129">
          <cell r="A129">
            <v>45541</v>
          </cell>
        </row>
        <row r="130">
          <cell r="A130">
            <v>45544</v>
          </cell>
        </row>
        <row r="131">
          <cell r="A131">
            <v>45545</v>
          </cell>
        </row>
        <row r="132">
          <cell r="A132">
            <v>45546</v>
          </cell>
        </row>
        <row r="133">
          <cell r="A133">
            <v>45547</v>
          </cell>
        </row>
        <row r="134">
          <cell r="A134">
            <v>45548</v>
          </cell>
        </row>
        <row r="135">
          <cell r="A135">
            <v>45551</v>
          </cell>
        </row>
        <row r="136">
          <cell r="A136">
            <v>45552</v>
          </cell>
        </row>
        <row r="137">
          <cell r="A137">
            <v>45553</v>
          </cell>
        </row>
        <row r="138">
          <cell r="A138">
            <v>45554</v>
          </cell>
        </row>
        <row r="139">
          <cell r="A139">
            <v>45555</v>
          </cell>
        </row>
        <row r="140">
          <cell r="A140">
            <v>45558</v>
          </cell>
        </row>
        <row r="141">
          <cell r="A141">
            <v>45559</v>
          </cell>
        </row>
        <row r="142">
          <cell r="A142">
            <v>45560</v>
          </cell>
        </row>
        <row r="143">
          <cell r="A143">
            <v>45561</v>
          </cell>
        </row>
        <row r="144">
          <cell r="A144">
            <v>45562</v>
          </cell>
        </row>
        <row r="145">
          <cell r="A145">
            <v>45565</v>
          </cell>
        </row>
        <row r="146">
          <cell r="A146">
            <v>45566</v>
          </cell>
        </row>
        <row r="147">
          <cell r="A147">
            <v>45567</v>
          </cell>
        </row>
        <row r="148">
          <cell r="A148">
            <v>45568</v>
          </cell>
        </row>
        <row r="149">
          <cell r="A149">
            <v>45569</v>
          </cell>
        </row>
        <row r="150">
          <cell r="A150">
            <v>45572</v>
          </cell>
        </row>
        <row r="151">
          <cell r="A151">
            <v>45573</v>
          </cell>
        </row>
        <row r="152">
          <cell r="A152">
            <v>45574</v>
          </cell>
        </row>
        <row r="153">
          <cell r="A153">
            <v>45575</v>
          </cell>
        </row>
        <row r="154">
          <cell r="A154">
            <v>45579</v>
          </cell>
        </row>
        <row r="155">
          <cell r="A155">
            <v>45580</v>
          </cell>
        </row>
        <row r="156">
          <cell r="A156">
            <v>45581</v>
          </cell>
        </row>
        <row r="157">
          <cell r="A157">
            <v>45582</v>
          </cell>
        </row>
        <row r="158">
          <cell r="A158">
            <v>45583</v>
          </cell>
        </row>
        <row r="159">
          <cell r="A159">
            <v>45586</v>
          </cell>
        </row>
        <row r="160">
          <cell r="A160">
            <v>45587</v>
          </cell>
        </row>
        <row r="161">
          <cell r="A161">
            <v>45588</v>
          </cell>
        </row>
        <row r="162">
          <cell r="A162">
            <v>45589</v>
          </cell>
        </row>
        <row r="163">
          <cell r="A163">
            <v>45590</v>
          </cell>
        </row>
        <row r="164">
          <cell r="A164">
            <v>45593</v>
          </cell>
        </row>
        <row r="165">
          <cell r="A165">
            <v>45594</v>
          </cell>
        </row>
        <row r="166">
          <cell r="A166">
            <v>45595</v>
          </cell>
        </row>
        <row r="167">
          <cell r="A167">
            <v>45596</v>
          </cell>
        </row>
        <row r="168">
          <cell r="A168">
            <v>45597</v>
          </cell>
        </row>
        <row r="169">
          <cell r="A169">
            <v>45600</v>
          </cell>
        </row>
        <row r="170">
          <cell r="A170">
            <v>45601</v>
          </cell>
        </row>
        <row r="171">
          <cell r="A171">
            <v>45602</v>
          </cell>
        </row>
        <row r="172">
          <cell r="A172">
            <v>45603</v>
          </cell>
        </row>
        <row r="173">
          <cell r="A173">
            <v>45604</v>
          </cell>
        </row>
        <row r="174">
          <cell r="A174">
            <v>45607</v>
          </cell>
        </row>
        <row r="175">
          <cell r="A175">
            <v>45608</v>
          </cell>
        </row>
        <row r="176">
          <cell r="A176">
            <v>45609</v>
          </cell>
        </row>
        <row r="177">
          <cell r="A177">
            <v>45610</v>
          </cell>
        </row>
        <row r="178">
          <cell r="A178">
            <v>45611</v>
          </cell>
        </row>
        <row r="179">
          <cell r="A179">
            <v>45615</v>
          </cell>
        </row>
        <row r="180">
          <cell r="A180">
            <v>45616</v>
          </cell>
        </row>
        <row r="181">
          <cell r="A181">
            <v>45617</v>
          </cell>
        </row>
        <row r="182">
          <cell r="A182">
            <v>45618</v>
          </cell>
        </row>
        <row r="183">
          <cell r="A183">
            <v>45621</v>
          </cell>
        </row>
        <row r="184">
          <cell r="A184">
            <v>45622</v>
          </cell>
        </row>
        <row r="185">
          <cell r="A185">
            <v>45623</v>
          </cell>
        </row>
        <row r="186">
          <cell r="A186">
            <v>45624</v>
          </cell>
        </row>
        <row r="187">
          <cell r="A187">
            <v>45625</v>
          </cell>
        </row>
        <row r="188">
          <cell r="A188">
            <v>45628</v>
          </cell>
        </row>
        <row r="189">
          <cell r="A189">
            <v>45629</v>
          </cell>
        </row>
        <row r="190">
          <cell r="A190">
            <v>45630</v>
          </cell>
        </row>
        <row r="191">
          <cell r="A191">
            <v>45631</v>
          </cell>
        </row>
        <row r="192">
          <cell r="A192">
            <v>45632</v>
          </cell>
        </row>
        <row r="193">
          <cell r="A193">
            <v>45635</v>
          </cell>
        </row>
        <row r="194">
          <cell r="A194">
            <v>45636</v>
          </cell>
        </row>
        <row r="195">
          <cell r="A195">
            <v>45637</v>
          </cell>
        </row>
        <row r="196">
          <cell r="A196">
            <v>45638</v>
          </cell>
        </row>
        <row r="197">
          <cell r="A197">
            <v>45639</v>
          </cell>
        </row>
        <row r="198">
          <cell r="A198">
            <v>45642</v>
          </cell>
        </row>
        <row r="199">
          <cell r="A199">
            <v>45643</v>
          </cell>
        </row>
        <row r="200">
          <cell r="A200">
            <v>45644</v>
          </cell>
        </row>
        <row r="201">
          <cell r="A201">
            <v>45645</v>
          </cell>
        </row>
        <row r="202">
          <cell r="A202">
            <v>45646</v>
          </cell>
        </row>
        <row r="203">
          <cell r="A203">
            <v>45649</v>
          </cell>
        </row>
        <row r="204">
          <cell r="A204">
            <v>45650</v>
          </cell>
        </row>
        <row r="205">
          <cell r="A205">
            <v>45652</v>
          </cell>
        </row>
        <row r="206">
          <cell r="A206">
            <v>45653</v>
          </cell>
        </row>
        <row r="207">
          <cell r="A207">
            <v>45656</v>
          </cell>
        </row>
        <row r="208">
          <cell r="A208">
            <v>45659</v>
          </cell>
        </row>
        <row r="209">
          <cell r="A209">
            <v>45660</v>
          </cell>
        </row>
        <row r="210">
          <cell r="A210">
            <v>45663</v>
          </cell>
        </row>
        <row r="211">
          <cell r="A211">
            <v>45664</v>
          </cell>
        </row>
        <row r="212">
          <cell r="A212">
            <v>45665</v>
          </cell>
        </row>
        <row r="213">
          <cell r="A213">
            <v>45666</v>
          </cell>
        </row>
        <row r="214">
          <cell r="A214">
            <v>45667</v>
          </cell>
        </row>
        <row r="215">
          <cell r="A215">
            <v>45670</v>
          </cell>
        </row>
        <row r="216">
          <cell r="A216">
            <v>45671</v>
          </cell>
        </row>
        <row r="217">
          <cell r="A217">
            <v>45672</v>
          </cell>
        </row>
        <row r="218">
          <cell r="A218">
            <v>45673</v>
          </cell>
        </row>
        <row r="219">
          <cell r="A219">
            <v>45674</v>
          </cell>
        </row>
        <row r="220">
          <cell r="A220">
            <v>45677</v>
          </cell>
        </row>
        <row r="221">
          <cell r="A221">
            <v>45678</v>
          </cell>
        </row>
        <row r="222">
          <cell r="A222">
            <v>45679</v>
          </cell>
        </row>
        <row r="223">
          <cell r="A223">
            <v>45680</v>
          </cell>
        </row>
        <row r="224">
          <cell r="A224">
            <v>45681</v>
          </cell>
        </row>
        <row r="225">
          <cell r="A225">
            <v>45684</v>
          </cell>
        </row>
        <row r="226">
          <cell r="A226">
            <v>45685</v>
          </cell>
        </row>
        <row r="227">
          <cell r="A227">
            <v>45686</v>
          </cell>
        </row>
        <row r="228">
          <cell r="A228">
            <v>45687</v>
          </cell>
        </row>
        <row r="229">
          <cell r="A229">
            <v>45688</v>
          </cell>
        </row>
        <row r="230">
          <cell r="A230">
            <v>45691</v>
          </cell>
        </row>
        <row r="231">
          <cell r="A231">
            <v>45692</v>
          </cell>
        </row>
        <row r="232">
          <cell r="A232">
            <v>45693</v>
          </cell>
        </row>
        <row r="233">
          <cell r="A233">
            <v>45694</v>
          </cell>
        </row>
        <row r="234">
          <cell r="A234">
            <v>45695</v>
          </cell>
        </row>
        <row r="235">
          <cell r="A235">
            <v>45698</v>
          </cell>
        </row>
        <row r="236">
          <cell r="A236">
            <v>45699</v>
          </cell>
        </row>
        <row r="237">
          <cell r="A237">
            <v>45700</v>
          </cell>
        </row>
        <row r="238">
          <cell r="A238">
            <v>45701</v>
          </cell>
        </row>
        <row r="239">
          <cell r="A239">
            <v>45702</v>
          </cell>
        </row>
        <row r="240">
          <cell r="A240">
            <v>45705</v>
          </cell>
        </row>
        <row r="241">
          <cell r="A241">
            <v>45706</v>
          </cell>
        </row>
        <row r="242">
          <cell r="A242">
            <v>45707</v>
          </cell>
        </row>
        <row r="243">
          <cell r="A243">
            <v>45708</v>
          </cell>
        </row>
        <row r="244">
          <cell r="A244">
            <v>45709</v>
          </cell>
        </row>
        <row r="245">
          <cell r="A245">
            <v>45712</v>
          </cell>
        </row>
        <row r="246">
          <cell r="A246">
            <v>45713</v>
          </cell>
        </row>
        <row r="247">
          <cell r="A247">
            <v>45714</v>
          </cell>
        </row>
        <row r="248">
          <cell r="A248">
            <v>45715</v>
          </cell>
        </row>
        <row r="249">
          <cell r="A249">
            <v>45716</v>
          </cell>
        </row>
        <row r="250">
          <cell r="A250">
            <v>45721</v>
          </cell>
        </row>
        <row r="251">
          <cell r="A251">
            <v>45722</v>
          </cell>
        </row>
        <row r="252">
          <cell r="A252">
            <v>45723</v>
          </cell>
        </row>
        <row r="253">
          <cell r="A253">
            <v>45726</v>
          </cell>
        </row>
        <row r="254">
          <cell r="A254">
            <v>45727</v>
          </cell>
        </row>
        <row r="255">
          <cell r="A255">
            <v>45728</v>
          </cell>
        </row>
        <row r="256">
          <cell r="A256">
            <v>45729</v>
          </cell>
        </row>
        <row r="257">
          <cell r="A257">
            <v>45730</v>
          </cell>
        </row>
        <row r="258">
          <cell r="A258">
            <v>45733</v>
          </cell>
        </row>
        <row r="259">
          <cell r="A259">
            <v>45734</v>
          </cell>
        </row>
        <row r="260">
          <cell r="A260">
            <v>45735</v>
          </cell>
        </row>
        <row r="261">
          <cell r="A261">
            <v>45736</v>
          </cell>
        </row>
        <row r="262">
          <cell r="A262">
            <v>45737</v>
          </cell>
        </row>
        <row r="263">
          <cell r="A263">
            <v>45741</v>
          </cell>
        </row>
        <row r="264">
          <cell r="A264">
            <v>45742</v>
          </cell>
        </row>
        <row r="265">
          <cell r="A265">
            <v>45743</v>
          </cell>
        </row>
        <row r="266">
          <cell r="A266">
            <v>45744</v>
          </cell>
        </row>
        <row r="267">
          <cell r="A267">
            <v>45747</v>
          </cell>
        </row>
        <row r="268">
          <cell r="A268">
            <v>45748</v>
          </cell>
        </row>
        <row r="269">
          <cell r="A269">
            <v>45750</v>
          </cell>
        </row>
        <row r="270">
          <cell r="A270">
            <v>45751</v>
          </cell>
        </row>
        <row r="271">
          <cell r="A271">
            <v>45754</v>
          </cell>
        </row>
        <row r="272">
          <cell r="A272">
            <v>45755</v>
          </cell>
        </row>
        <row r="273">
          <cell r="A273">
            <v>45756</v>
          </cell>
        </row>
        <row r="274">
          <cell r="A274">
            <v>45757</v>
          </cell>
        </row>
        <row r="275">
          <cell r="A275">
            <v>45758</v>
          </cell>
        </row>
        <row r="276">
          <cell r="A276">
            <v>45761</v>
          </cell>
        </row>
        <row r="277">
          <cell r="A277">
            <v>45762</v>
          </cell>
        </row>
        <row r="278">
          <cell r="A278">
            <v>45763</v>
          </cell>
        </row>
        <row r="279">
          <cell r="A279">
            <v>45768</v>
          </cell>
        </row>
        <row r="280">
          <cell r="A280">
            <v>45769</v>
          </cell>
        </row>
        <row r="281">
          <cell r="A281">
            <v>45770</v>
          </cell>
        </row>
        <row r="282">
          <cell r="A282">
            <v>45771</v>
          </cell>
        </row>
        <row r="283">
          <cell r="A283">
            <v>45772</v>
          </cell>
        </row>
        <row r="284">
          <cell r="A284">
            <v>45775</v>
          </cell>
        </row>
        <row r="285">
          <cell r="A285">
            <v>45776</v>
          </cell>
        </row>
        <row r="286">
          <cell r="A286">
            <v>45777</v>
          </cell>
        </row>
        <row r="287">
          <cell r="A287">
            <v>45782</v>
          </cell>
        </row>
        <row r="288">
          <cell r="A288">
            <v>45783</v>
          </cell>
        </row>
        <row r="289">
          <cell r="A289">
            <v>45784</v>
          </cell>
        </row>
        <row r="290">
          <cell r="A290">
            <v>45785</v>
          </cell>
        </row>
        <row r="291">
          <cell r="A291">
            <v>45786</v>
          </cell>
        </row>
        <row r="292">
          <cell r="A292">
            <v>45789</v>
          </cell>
        </row>
        <row r="293">
          <cell r="A293">
            <v>45790</v>
          </cell>
        </row>
        <row r="294">
          <cell r="A294">
            <v>45791</v>
          </cell>
        </row>
        <row r="295">
          <cell r="A295">
            <v>45792</v>
          </cell>
        </row>
        <row r="296">
          <cell r="A296">
            <v>45793</v>
          </cell>
        </row>
        <row r="297">
          <cell r="A297">
            <v>45796</v>
          </cell>
        </row>
        <row r="298">
          <cell r="A298">
            <v>45797</v>
          </cell>
        </row>
        <row r="299">
          <cell r="A299">
            <v>45798</v>
          </cell>
        </row>
        <row r="300">
          <cell r="A300">
            <v>45799</v>
          </cell>
        </row>
        <row r="301">
          <cell r="A301">
            <v>45800</v>
          </cell>
          <cell r="B301">
            <v>650.72774161968789</v>
          </cell>
        </row>
        <row r="302">
          <cell r="A302">
            <v>45803</v>
          </cell>
          <cell r="B302">
            <v>647.59812178345214</v>
          </cell>
          <cell r="D302">
            <v>720.08163068811837</v>
          </cell>
        </row>
        <row r="303">
          <cell r="A303">
            <v>45804</v>
          </cell>
          <cell r="B303">
            <v>645.73915883415725</v>
          </cell>
          <cell r="D303">
            <v>711.09940986917059</v>
          </cell>
        </row>
        <row r="304">
          <cell r="A304">
            <v>45805</v>
          </cell>
          <cell r="B304">
            <v>645.92732757614101</v>
          </cell>
          <cell r="D304">
            <v>708.14118885186588</v>
          </cell>
        </row>
        <row r="305">
          <cell r="A305">
            <v>45806</v>
          </cell>
          <cell r="B305">
            <v>646.83789787619992</v>
          </cell>
          <cell r="D305">
            <v>710.64155943116566</v>
          </cell>
        </row>
        <row r="306">
          <cell r="A306">
            <v>45807</v>
          </cell>
          <cell r="B306">
            <v>646.56596655557814</v>
          </cell>
          <cell r="D306">
            <v>705.43812667272414</v>
          </cell>
        </row>
        <row r="307">
          <cell r="A307">
            <v>45810</v>
          </cell>
          <cell r="B307">
            <v>641.77125530113938</v>
          </cell>
          <cell r="D307">
            <v>702.79111664901791</v>
          </cell>
        </row>
        <row r="308">
          <cell r="A308">
            <v>45811</v>
          </cell>
          <cell r="B308">
            <v>642.1189826290688</v>
          </cell>
          <cell r="D308">
            <v>698.48478420459605</v>
          </cell>
        </row>
        <row r="309">
          <cell r="A309">
            <v>45812</v>
          </cell>
          <cell r="B309">
            <v>640.21249470513965</v>
          </cell>
          <cell r="D309">
            <v>702.22716712907788</v>
          </cell>
        </row>
        <row r="310">
          <cell r="A310">
            <v>45813</v>
          </cell>
          <cell r="B310">
            <v>644.239777292962</v>
          </cell>
          <cell r="D310">
            <v>701.16787984793541</v>
          </cell>
        </row>
        <row r="311">
          <cell r="A311">
            <v>45814</v>
          </cell>
          <cell r="B311">
            <v>646.73604412570842</v>
          </cell>
          <cell r="D311">
            <v>703.3969307536737</v>
          </cell>
        </row>
        <row r="312">
          <cell r="A312">
            <v>45817</v>
          </cell>
          <cell r="B312">
            <v>646.34054602631602</v>
          </cell>
          <cell r="D312">
            <v>700.74681152935239</v>
          </cell>
        </row>
        <row r="313">
          <cell r="A313">
            <v>45818</v>
          </cell>
          <cell r="B313">
            <v>644.53404912637927</v>
          </cell>
          <cell r="D313">
            <v>699.23059557571628</v>
          </cell>
        </row>
        <row r="314">
          <cell r="A314">
            <v>45819</v>
          </cell>
          <cell r="B314">
            <v>644.71935346412272</v>
          </cell>
          <cell r="D314">
            <v>702.75132551887145</v>
          </cell>
        </row>
        <row r="315">
          <cell r="A315">
            <v>45820</v>
          </cell>
          <cell r="B315">
            <v>639.58781326851908</v>
          </cell>
          <cell r="D315">
            <v>698.83290364926211</v>
          </cell>
        </row>
        <row r="316">
          <cell r="A316">
            <v>45821</v>
          </cell>
          <cell r="B316">
            <v>642.68562184060556</v>
          </cell>
          <cell r="D316">
            <v>699.93094914325366</v>
          </cell>
        </row>
        <row r="317">
          <cell r="A317">
            <v>45825</v>
          </cell>
          <cell r="B317">
            <v>643.7104587281367</v>
          </cell>
          <cell r="D317">
            <v>702.45617765946326</v>
          </cell>
        </row>
        <row r="318">
          <cell r="A318">
            <v>45826</v>
          </cell>
          <cell r="B318">
            <v>646.56916425939369</v>
          </cell>
          <cell r="D318">
            <v>708.84582973672775</v>
          </cell>
        </row>
        <row r="319">
          <cell r="A319">
            <v>45827</v>
          </cell>
          <cell r="B319">
            <v>648.00475479291731</v>
          </cell>
          <cell r="D319">
            <v>712.52033762049871</v>
          </cell>
        </row>
        <row r="320">
          <cell r="A320">
            <v>45831</v>
          </cell>
          <cell r="B320">
            <v>646.17541138392062</v>
          </cell>
          <cell r="D320">
            <v>717.80167804560779</v>
          </cell>
        </row>
        <row r="321">
          <cell r="A321">
            <v>45832</v>
          </cell>
          <cell r="B321">
            <v>646.96905208949636</v>
          </cell>
          <cell r="D321">
            <v>719.52726092029991</v>
          </cell>
        </row>
        <row r="322">
          <cell r="A322">
            <v>45833</v>
          </cell>
          <cell r="B322">
            <v>646.01020564816611</v>
          </cell>
          <cell r="D322">
            <v>719.26225483641258</v>
          </cell>
        </row>
        <row r="323">
          <cell r="A323">
            <v>45834</v>
          </cell>
          <cell r="B323">
            <v>648.01319285461841</v>
          </cell>
          <cell r="D323">
            <v>722.15644569165784</v>
          </cell>
        </row>
        <row r="324">
          <cell r="A324">
            <v>45835</v>
          </cell>
          <cell r="B324">
            <v>646.28527441646565</v>
          </cell>
          <cell r="D324">
            <v>720.41901093959939</v>
          </cell>
        </row>
        <row r="325">
          <cell r="A325">
            <v>45838</v>
          </cell>
          <cell r="B325">
            <v>646.19002597542908</v>
          </cell>
          <cell r="D325">
            <v>729.18502878010554</v>
          </cell>
        </row>
        <row r="326">
          <cell r="A326">
            <v>45839</v>
          </cell>
          <cell r="B326">
            <v>650.91643309457527</v>
          </cell>
          <cell r="D326">
            <v>730.92544600844963</v>
          </cell>
        </row>
        <row r="327">
          <cell r="A327">
            <v>45840</v>
          </cell>
          <cell r="B327">
            <v>649.22094226031027</v>
          </cell>
          <cell r="D327">
            <v>727.24861514420377</v>
          </cell>
        </row>
        <row r="328">
          <cell r="A328">
            <v>45841</v>
          </cell>
          <cell r="B328">
            <v>648.57984507419224</v>
          </cell>
          <cell r="D328">
            <v>728.25719416933339</v>
          </cell>
        </row>
        <row r="329">
          <cell r="A329">
            <v>45842</v>
          </cell>
          <cell r="B329">
            <v>649.04269991931676</v>
          </cell>
          <cell r="D329">
            <v>729.43475040993235</v>
          </cell>
        </row>
        <row r="330">
          <cell r="A330">
            <v>45845</v>
          </cell>
          <cell r="B330">
            <v>650.70489952722869</v>
          </cell>
          <cell r="D330">
            <v>734.9051032854494</v>
          </cell>
        </row>
        <row r="331">
          <cell r="A331">
            <v>45846</v>
          </cell>
          <cell r="B331">
            <v>649.70767583782413</v>
          </cell>
          <cell r="D331">
            <v>726.93552516284649</v>
          </cell>
        </row>
        <row r="332">
          <cell r="A332">
            <v>45848</v>
          </cell>
          <cell r="B332">
            <v>645.22931207058684</v>
          </cell>
          <cell r="D332">
            <v>723.1828033188408</v>
          </cell>
        </row>
        <row r="333">
          <cell r="A333">
            <v>45849</v>
          </cell>
          <cell r="B333">
            <v>647.69986393805277</v>
          </cell>
          <cell r="D333">
            <v>719.58569984111193</v>
          </cell>
        </row>
        <row r="334">
          <cell r="A334">
            <v>45852</v>
          </cell>
          <cell r="B334">
            <v>652.16214794226323</v>
          </cell>
          <cell r="D334">
            <v>722.1034585242295</v>
          </cell>
        </row>
        <row r="335">
          <cell r="A335">
            <v>45853</v>
          </cell>
          <cell r="B335">
            <v>650.35337258218306</v>
          </cell>
          <cell r="D335">
            <v>730.98534111395702</v>
          </cell>
        </row>
        <row r="336">
          <cell r="A336">
            <v>45854</v>
          </cell>
          <cell r="B336">
            <v>650.31079496722089</v>
          </cell>
          <cell r="D336">
            <v>727.26294894349905</v>
          </cell>
        </row>
        <row r="337">
          <cell r="A337">
            <v>45855</v>
          </cell>
          <cell r="B337">
            <v>655.75103702694412</v>
          </cell>
          <cell r="D337">
            <v>733.12452478228374</v>
          </cell>
        </row>
        <row r="338">
          <cell r="A338">
            <v>45856</v>
          </cell>
          <cell r="B338">
            <v>653.83159115485751</v>
          </cell>
          <cell r="D338">
            <v>732.9519640546298</v>
          </cell>
        </row>
        <row r="339">
          <cell r="A339">
            <v>45859</v>
          </cell>
          <cell r="B339">
            <v>656.84437480968336</v>
          </cell>
          <cell r="D339">
            <v>728.84973858801891</v>
          </cell>
        </row>
        <row r="340">
          <cell r="A340">
            <v>45860</v>
          </cell>
          <cell r="B340">
            <v>652.87141943790027</v>
          </cell>
          <cell r="D340">
            <v>720.86085473275307</v>
          </cell>
        </row>
        <row r="341">
          <cell r="A341">
            <v>45861</v>
          </cell>
          <cell r="B341">
            <v>656.9090277648362</v>
          </cell>
          <cell r="D341">
            <v>733.48581561092521</v>
          </cell>
        </row>
        <row r="342">
          <cell r="A342">
            <v>45862</v>
          </cell>
          <cell r="B342">
            <v>652.63311639988137</v>
          </cell>
          <cell r="D342">
            <v>730.26355998015902</v>
          </cell>
        </row>
        <row r="343">
          <cell r="A343">
            <v>45863</v>
          </cell>
          <cell r="B343">
            <v>655.30596805634934</v>
          </cell>
          <cell r="D343">
            <v>737.50202392003348</v>
          </cell>
        </row>
        <row r="344">
          <cell r="A344">
            <v>45866</v>
          </cell>
          <cell r="B344">
            <v>651.16156172665728</v>
          </cell>
          <cell r="D344">
            <v>739.27702142082273</v>
          </cell>
        </row>
        <row r="345">
          <cell r="A345">
            <v>45867</v>
          </cell>
          <cell r="B345">
            <v>650.68620616712678</v>
          </cell>
          <cell r="D345">
            <v>737.5674365796657</v>
          </cell>
        </row>
        <row r="346">
          <cell r="A346">
            <v>45868</v>
          </cell>
          <cell r="B346">
            <v>648.59700121436674</v>
          </cell>
          <cell r="D346">
            <v>734.67810337524793</v>
          </cell>
        </row>
        <row r="347">
          <cell r="A347">
            <v>45869</v>
          </cell>
          <cell r="B347">
            <v>653.73758771083646</v>
          </cell>
          <cell r="D347">
            <v>728.26532662764146</v>
          </cell>
        </row>
        <row r="348">
          <cell r="A348">
            <v>45870</v>
          </cell>
          <cell r="B348">
            <v>657.02964086982536</v>
          </cell>
          <cell r="D348">
            <v>728.57720390164297</v>
          </cell>
        </row>
        <row r="349">
          <cell r="A349">
            <v>45873</v>
          </cell>
          <cell r="B349">
            <v>653.13124928881768</v>
          </cell>
          <cell r="D349">
            <v>730.50299703799499</v>
          </cell>
        </row>
        <row r="350">
          <cell r="A350">
            <v>45874</v>
          </cell>
          <cell r="B350">
            <v>654.04392833097029</v>
          </cell>
          <cell r="D350">
            <v>731.52148215795501</v>
          </cell>
        </row>
        <row r="351">
          <cell r="A351">
            <v>45875</v>
          </cell>
          <cell r="B351">
            <v>655.72155145579961</v>
          </cell>
          <cell r="D351">
            <v>731.07587017091384</v>
          </cell>
        </row>
        <row r="352">
          <cell r="A352">
            <v>45876</v>
          </cell>
          <cell r="B352">
            <v>657.00129065632268</v>
          </cell>
          <cell r="D352">
            <v>730.35628076139312</v>
          </cell>
        </row>
        <row r="353">
          <cell r="A353">
            <v>45877</v>
          </cell>
          <cell r="B353">
            <v>654.72192897598813</v>
          </cell>
          <cell r="D353">
            <v>730.47650512128394</v>
          </cell>
        </row>
        <row r="354">
          <cell r="A354">
            <v>45880</v>
          </cell>
          <cell r="B354">
            <v>650.51579487909271</v>
          </cell>
          <cell r="D354">
            <v>728.39789495016055</v>
          </cell>
        </row>
        <row r="355">
          <cell r="A355">
            <v>45881</v>
          </cell>
          <cell r="B355">
            <v>653.6648078894824</v>
          </cell>
          <cell r="D355">
            <v>731.06239682343016</v>
          </cell>
        </row>
        <row r="356">
          <cell r="A356">
            <v>45882</v>
          </cell>
          <cell r="B356">
            <v>650.29638274399304</v>
          </cell>
          <cell r="D356">
            <v>726.21723652549451</v>
          </cell>
        </row>
        <row r="357">
          <cell r="A357">
            <v>45883</v>
          </cell>
          <cell r="B357">
            <v>650.02975129400056</v>
          </cell>
          <cell r="D357">
            <v>719.52396694381014</v>
          </cell>
        </row>
        <row r="358">
          <cell r="A358">
            <v>45887</v>
          </cell>
          <cell r="B358">
            <v>650.07862484723933</v>
          </cell>
          <cell r="D358">
            <v>720.26857980683621</v>
          </cell>
        </row>
        <row r="359">
          <cell r="A359">
            <v>45888</v>
          </cell>
          <cell r="B359">
            <v>648.92063296387687</v>
          </cell>
          <cell r="D359">
            <v>731.2928693454561</v>
          </cell>
        </row>
        <row r="360">
          <cell r="A360">
            <v>45889</v>
          </cell>
          <cell r="B360">
            <v>645.43442937811039</v>
          </cell>
          <cell r="D360">
            <v>728.45434597461895</v>
          </cell>
        </row>
        <row r="361">
          <cell r="A361">
            <v>45890</v>
          </cell>
          <cell r="B361">
            <v>642.74796551020063</v>
          </cell>
          <cell r="D361">
            <v>725.16546637230419</v>
          </cell>
        </row>
        <row r="362">
          <cell r="A362">
            <v>45891</v>
          </cell>
          <cell r="B362">
            <v>647.33982945315404</v>
          </cell>
          <cell r="D362">
            <v>723.99020490139969</v>
          </cell>
        </row>
        <row r="363">
          <cell r="A363">
            <v>45894</v>
          </cell>
          <cell r="B363">
            <v>643.80951098091975</v>
          </cell>
          <cell r="D363">
            <v>713.98500847262915</v>
          </cell>
        </row>
        <row r="364">
          <cell r="A364">
            <v>45895</v>
          </cell>
          <cell r="B364">
            <v>641.50860033937215</v>
          </cell>
          <cell r="D364">
            <v>717.27240694938973</v>
          </cell>
        </row>
        <row r="365">
          <cell r="A365">
            <v>45896</v>
          </cell>
          <cell r="B365">
            <v>649.49764014269499</v>
          </cell>
          <cell r="D365">
            <v>736.68007299924034</v>
          </cell>
        </row>
        <row r="366">
          <cell r="A366">
            <v>45897</v>
          </cell>
          <cell r="B366">
            <v>649.92639139773894</v>
          </cell>
          <cell r="D366">
            <v>743.58339979030848</v>
          </cell>
        </row>
        <row r="367">
          <cell r="A367">
            <v>45898</v>
          </cell>
          <cell r="B367">
            <v>652.46003120265061</v>
          </cell>
          <cell r="D367">
            <v>754.63924055848986</v>
          </cell>
        </row>
        <row r="368">
          <cell r="A368">
            <v>45901</v>
          </cell>
          <cell r="B368">
            <v>650.24963903145704</v>
          </cell>
          <cell r="D368">
            <v>744.44983227863895</v>
          </cell>
        </row>
        <row r="369">
          <cell r="A369">
            <v>45902</v>
          </cell>
          <cell r="B369">
            <v>651.96343832808077</v>
          </cell>
          <cell r="D369">
            <v>746.09750715673727</v>
          </cell>
        </row>
        <row r="370">
          <cell r="A370">
            <v>45903</v>
          </cell>
          <cell r="B370">
            <v>654.47914045957998</v>
          </cell>
          <cell r="D370">
            <v>745.61112792602205</v>
          </cell>
        </row>
        <row r="371">
          <cell r="A371">
            <v>45904</v>
          </cell>
          <cell r="B371">
            <v>656.06947484379441</v>
          </cell>
          <cell r="D371">
            <v>748.73478136258188</v>
          </cell>
        </row>
        <row r="372">
          <cell r="A372">
            <v>45905</v>
          </cell>
          <cell r="B372">
            <v>653.26639760029832</v>
          </cell>
          <cell r="D372">
            <v>762.24622378911954</v>
          </cell>
        </row>
        <row r="373">
          <cell r="A373">
            <v>45908</v>
          </cell>
          <cell r="B373">
            <v>646.80682252947281</v>
          </cell>
          <cell r="D373">
            <v>767.47391257124775</v>
          </cell>
        </row>
        <row r="374">
          <cell r="A374">
            <v>45909</v>
          </cell>
          <cell r="B374">
            <v>648.96223736194941</v>
          </cell>
          <cell r="D374">
            <v>766.92272990508786</v>
          </cell>
        </row>
        <row r="375">
          <cell r="A375">
            <v>45910</v>
          </cell>
          <cell r="B375">
            <v>648.88901045897217</v>
          </cell>
          <cell r="D375">
            <v>753.01467967341375</v>
          </cell>
        </row>
        <row r="376">
          <cell r="A376">
            <v>45911</v>
          </cell>
          <cell r="B376">
            <v>649.31598068631058</v>
          </cell>
          <cell r="D376">
            <v>758.5714587208073</v>
          </cell>
        </row>
        <row r="377">
          <cell r="A377">
            <v>45912</v>
          </cell>
          <cell r="B377">
            <v>654.50323660406366</v>
          </cell>
          <cell r="D377">
            <v>763.09404208033948</v>
          </cell>
        </row>
        <row r="378">
          <cell r="A378">
            <v>45915</v>
          </cell>
          <cell r="B378">
            <v>657.13414970907399</v>
          </cell>
          <cell r="D378">
            <v>761.57379580157317</v>
          </cell>
        </row>
        <row r="379">
          <cell r="A379">
            <v>45916</v>
          </cell>
          <cell r="B379">
            <v>652.35064085540671</v>
          </cell>
          <cell r="D379">
            <v>760.43502929855913</v>
          </cell>
        </row>
        <row r="380">
          <cell r="A380">
            <v>45917</v>
          </cell>
          <cell r="B380">
            <v>653.49414404871732</v>
          </cell>
          <cell r="D380">
            <v>757.4363345855669</v>
          </cell>
        </row>
        <row r="381">
          <cell r="A381">
            <v>45918</v>
          </cell>
          <cell r="B381">
            <v>629.20526362361022</v>
          </cell>
          <cell r="D381">
            <v>742.8408144566107</v>
          </cell>
        </row>
        <row r="382">
          <cell r="A382">
            <v>45919</v>
          </cell>
          <cell r="B382">
            <v>653.2743933517354</v>
          </cell>
          <cell r="D382">
            <v>715.51533431558551</v>
          </cell>
        </row>
        <row r="383">
          <cell r="A383">
            <v>45922</v>
          </cell>
          <cell r="B383">
            <v>648.03102421103165</v>
          </cell>
          <cell r="D383">
            <v>743.49076199934586</v>
          </cell>
        </row>
        <row r="384">
          <cell r="A384">
            <v>45923</v>
          </cell>
          <cell r="B384">
            <v>646.1367479164702</v>
          </cell>
          <cell r="D384">
            <v>759.74060996701769</v>
          </cell>
        </row>
        <row r="385">
          <cell r="A385">
            <v>45924</v>
          </cell>
          <cell r="B385">
            <v>651.26902103048621</v>
          </cell>
          <cell r="D385">
            <v>759.8901842991628</v>
          </cell>
        </row>
        <row r="386">
          <cell r="A386">
            <v>45925</v>
          </cell>
          <cell r="B386">
            <v>644.99393199982399</v>
          </cell>
          <cell r="D386">
            <v>753.80636315332583</v>
          </cell>
        </row>
        <row r="387">
          <cell r="A387">
            <v>45926</v>
          </cell>
          <cell r="B387">
            <v>647.17376187527077</v>
          </cell>
          <cell r="D387">
            <v>753.37389183824484</v>
          </cell>
        </row>
        <row r="388">
          <cell r="A388">
            <v>45929</v>
          </cell>
          <cell r="B388">
            <v>647.09781656063217</v>
          </cell>
          <cell r="D388">
            <v>747.18744595300302</v>
          </cell>
        </row>
        <row r="389">
          <cell r="A389">
            <v>45930</v>
          </cell>
          <cell r="B389">
            <v>644.77224864846949</v>
          </cell>
          <cell r="D389">
            <v>768.04417502117462</v>
          </cell>
        </row>
        <row r="390">
          <cell r="A390">
            <v>45931</v>
          </cell>
          <cell r="B390">
            <v>644.97967936380769</v>
          </cell>
          <cell r="D390">
            <v>736.93061981165852</v>
          </cell>
        </row>
        <row r="391">
          <cell r="A391">
            <v>45932</v>
          </cell>
          <cell r="B391">
            <v>646.48034499452547</v>
          </cell>
          <cell r="D391">
            <v>747.69595681557951</v>
          </cell>
        </row>
        <row r="392">
          <cell r="A392">
            <v>45933</v>
          </cell>
          <cell r="B392">
            <v>647.94378775380244</v>
          </cell>
          <cell r="D392">
            <v>742.16296692408298</v>
          </cell>
        </row>
        <row r="393">
          <cell r="A393">
            <v>45936</v>
          </cell>
          <cell r="B393">
            <v>646.95953523526259</v>
          </cell>
          <cell r="D393">
            <v>735.9558528408744</v>
          </cell>
        </row>
        <row r="394">
          <cell r="A394">
            <v>45937</v>
          </cell>
          <cell r="B394">
            <v>649.83399847925898</v>
          </cell>
          <cell r="D394">
            <v>739.43635856879234</v>
          </cell>
        </row>
        <row r="395">
          <cell r="A395">
            <v>45938</v>
          </cell>
          <cell r="B395">
            <v>646.20054748402038</v>
          </cell>
          <cell r="D395">
            <v>734.47132266474682</v>
          </cell>
        </row>
        <row r="396">
          <cell r="A396">
            <v>45939</v>
          </cell>
          <cell r="B396">
            <v>642.89544188211357</v>
          </cell>
          <cell r="D396">
            <v>736.5883367036929</v>
          </cell>
        </row>
        <row r="397">
          <cell r="A397">
            <v>45943</v>
          </cell>
          <cell r="B397">
            <v>651.79659696436136</v>
          </cell>
          <cell r="D397">
            <v>733.93615252110465</v>
          </cell>
        </row>
        <row r="398">
          <cell r="A398">
            <v>45944</v>
          </cell>
          <cell r="B398">
            <v>647.87546471811572</v>
          </cell>
          <cell r="D398">
            <v>727.81094807407567</v>
          </cell>
        </row>
        <row r="399">
          <cell r="A399">
            <v>45945</v>
          </cell>
          <cell r="B399">
            <v>644.57668482870645</v>
          </cell>
          <cell r="D399">
            <v>743.08460340191459</v>
          </cell>
        </row>
        <row r="400">
          <cell r="A400">
            <v>45946</v>
          </cell>
          <cell r="B400">
            <v>647.43424858910953</v>
          </cell>
          <cell r="D400">
            <v>740.4444014468462</v>
          </cell>
        </row>
        <row r="401">
          <cell r="A401">
            <v>45947</v>
          </cell>
          <cell r="B401">
            <v>650.62564551058551</v>
          </cell>
          <cell r="D401">
            <v>755.14400756289547</v>
          </cell>
        </row>
        <row r="402">
          <cell r="A402">
            <v>45950</v>
          </cell>
          <cell r="B402">
            <v>649.72669030587451</v>
          </cell>
          <cell r="D402">
            <v>757.00091212294603</v>
          </cell>
        </row>
        <row r="403">
          <cell r="A403">
            <v>45951</v>
          </cell>
          <cell r="B403">
            <v>649.11136627137103</v>
          </cell>
          <cell r="D403">
            <v>748.93600504159065</v>
          </cell>
        </row>
        <row r="404">
          <cell r="A404">
            <v>45952</v>
          </cell>
          <cell r="B404">
            <v>649.58539097201481</v>
          </cell>
          <cell r="D404">
            <v>743.54461979714893</v>
          </cell>
        </row>
        <row r="405">
          <cell r="A405">
            <v>45953</v>
          </cell>
          <cell r="B405">
            <v>650.07725400978302</v>
          </cell>
          <cell r="D405">
            <v>745.69511078232415</v>
          </cell>
        </row>
        <row r="406">
          <cell r="A406">
            <v>45954</v>
          </cell>
          <cell r="B406">
            <v>649.94930457678322</v>
          </cell>
          <cell r="D406">
            <v>742.61844543359155</v>
          </cell>
        </row>
        <row r="407">
          <cell r="A407">
            <v>45957</v>
          </cell>
          <cell r="B407">
            <v>650.31789231017342</v>
          </cell>
          <cell r="D407">
            <v>723.41437560794759</v>
          </cell>
        </row>
        <row r="408">
          <cell r="A408">
            <v>45958</v>
          </cell>
          <cell r="B408">
            <v>650.68036907904786</v>
          </cell>
          <cell r="D408">
            <v>724.42567427986364</v>
          </cell>
        </row>
        <row r="409">
          <cell r="A409">
            <v>45959</v>
          </cell>
          <cell r="B409">
            <v>649.55946942565538</v>
          </cell>
          <cell r="D409">
            <v>726.52168961788334</v>
          </cell>
        </row>
        <row r="410">
          <cell r="A410">
            <v>45960</v>
          </cell>
          <cell r="B410">
            <v>651.02531852916286</v>
          </cell>
          <cell r="D410">
            <v>725.58774905008215</v>
          </cell>
        </row>
        <row r="411">
          <cell r="A411">
            <v>45961</v>
          </cell>
          <cell r="B411">
            <v>654.52675241658119</v>
          </cell>
          <cell r="D411">
            <v>731.85951766757512</v>
          </cell>
          <cell r="E411">
            <v>842.13414876631896</v>
          </cell>
          <cell r="F411">
            <v>785.65836565050131</v>
          </cell>
        </row>
        <row r="412">
          <cell r="A412">
            <v>45964</v>
          </cell>
          <cell r="B412">
            <v>651.59989837675073</v>
          </cell>
          <cell r="D412">
            <v>738.41156490768992</v>
          </cell>
          <cell r="E412">
            <v>846.87149783297775</v>
          </cell>
          <cell r="F412">
            <v>789.2386865118217</v>
          </cell>
        </row>
        <row r="413">
          <cell r="A413">
            <v>45965</v>
          </cell>
          <cell r="B413">
            <v>651.42147224581504</v>
          </cell>
          <cell r="D413">
            <v>738.3807583040591</v>
          </cell>
          <cell r="E413">
            <v>854.20578255960618</v>
          </cell>
          <cell r="F413">
            <v>785.63214861196434</v>
          </cell>
        </row>
        <row r="414">
          <cell r="A414">
            <v>45966</v>
          </cell>
          <cell r="B414">
            <v>652.2070131182677</v>
          </cell>
          <cell r="D414">
            <v>733.42735101649885</v>
          </cell>
          <cell r="E414">
            <v>850.03010587721815</v>
          </cell>
          <cell r="F414">
            <v>775.46444011575795</v>
          </cell>
        </row>
        <row r="415">
          <cell r="A415">
            <v>45967</v>
          </cell>
          <cell r="B415">
            <v>651.10595275843298</v>
          </cell>
          <cell r="D415">
            <v>734.81903793741935</v>
          </cell>
          <cell r="E415">
            <v>860.22272754265225</v>
          </cell>
          <cell r="F415">
            <v>769.45045403083759</v>
          </cell>
        </row>
        <row r="416">
          <cell r="A416">
            <v>45968</v>
          </cell>
          <cell r="B416">
            <v>652.37351247656477</v>
          </cell>
          <cell r="D416">
            <v>730.8137229712446</v>
          </cell>
          <cell r="E416">
            <v>857.40413127130569</v>
          </cell>
          <cell r="F416">
            <v>775.56957663332878</v>
          </cell>
        </row>
        <row r="417">
          <cell r="A417">
            <v>45971</v>
          </cell>
          <cell r="B417">
            <v>653.38732228711478</v>
          </cell>
          <cell r="D417">
            <v>734.51560157149493</v>
          </cell>
          <cell r="E417">
            <v>857.42668980026792</v>
          </cell>
          <cell r="F417">
            <v>779.04429167697253</v>
          </cell>
        </row>
        <row r="418">
          <cell r="A418">
            <v>45972</v>
          </cell>
          <cell r="B418">
            <v>653.79008508815741</v>
          </cell>
          <cell r="D418">
            <v>738.85332378832391</v>
          </cell>
          <cell r="E418">
            <v>854.86275329827458</v>
          </cell>
          <cell r="F418">
            <v>787.58996908692131</v>
          </cell>
        </row>
        <row r="419">
          <cell r="A419">
            <v>45973</v>
          </cell>
          <cell r="B419">
            <v>655.01317132891973</v>
          </cell>
          <cell r="D419">
            <v>741.23699906210709</v>
          </cell>
          <cell r="E419">
            <v>862.01351000952241</v>
          </cell>
          <cell r="F419">
            <v>792.34457670431448</v>
          </cell>
        </row>
        <row r="420">
          <cell r="A420">
            <v>45974</v>
          </cell>
          <cell r="B420">
            <v>654.88839570711446</v>
          </cell>
          <cell r="D420">
            <v>742.24796594222028</v>
          </cell>
          <cell r="E420">
            <v>861.91777483580768</v>
          </cell>
          <cell r="F420">
            <v>794.7717459209681</v>
          </cell>
        </row>
        <row r="421">
          <cell r="A421">
            <v>45975</v>
          </cell>
          <cell r="B421">
            <v>655.2509974116208</v>
          </cell>
          <cell r="D421">
            <v>739.63155532570443</v>
          </cell>
          <cell r="E421">
            <v>859.8304358003262</v>
          </cell>
          <cell r="F421">
            <v>792.86687652254079</v>
          </cell>
        </row>
        <row r="422">
          <cell r="A422">
            <v>45978</v>
          </cell>
          <cell r="B422">
            <v>654.74230991855052</v>
          </cell>
          <cell r="D422">
            <v>739.83268156065299</v>
          </cell>
          <cell r="E422">
            <v>862.45834141469265</v>
          </cell>
          <cell r="F422">
            <v>791.47917187418295</v>
          </cell>
        </row>
        <row r="423">
          <cell r="A423">
            <v>45979</v>
          </cell>
          <cell r="B423">
            <v>654.45435622265109</v>
          </cell>
          <cell r="D423">
            <v>741.93269019392744</v>
          </cell>
          <cell r="E423">
            <v>856.13144636720381</v>
          </cell>
          <cell r="F423">
            <v>794.62489582110516</v>
          </cell>
        </row>
        <row r="424">
          <cell r="A424">
            <v>45980</v>
          </cell>
          <cell r="B424">
            <v>654.3816183007558</v>
          </cell>
          <cell r="D424">
            <v>742.37597682402657</v>
          </cell>
          <cell r="E424">
            <v>865.91609608485498</v>
          </cell>
          <cell r="F424">
            <v>793.9209388577242</v>
          </cell>
        </row>
        <row r="425">
          <cell r="A425">
            <v>45981</v>
          </cell>
          <cell r="B425">
            <v>656.79900248738977</v>
          </cell>
          <cell r="D425">
            <v>747.89722193292448</v>
          </cell>
          <cell r="E425">
            <v>867.98852238249083</v>
          </cell>
          <cell r="F425">
            <v>797.36193716420462</v>
          </cell>
        </row>
        <row r="426">
          <cell r="A426">
            <v>45982</v>
          </cell>
        </row>
        <row r="427">
          <cell r="A427">
            <v>45986</v>
          </cell>
          <cell r="B427">
            <v>655.36525263156818</v>
          </cell>
          <cell r="D427">
            <v>746.362659142246</v>
          </cell>
          <cell r="E427">
            <v>868.10670868401155</v>
          </cell>
          <cell r="F427">
            <v>793.73990945829075</v>
          </cell>
        </row>
        <row r="428">
          <cell r="A428">
            <v>45987</v>
          </cell>
          <cell r="B428">
            <v>655.30464835297494</v>
          </cell>
          <cell r="D428">
            <v>747.72902088868545</v>
          </cell>
          <cell r="E428">
            <v>869.0018873598716</v>
          </cell>
          <cell r="F428">
            <v>795.84696186041663</v>
          </cell>
        </row>
        <row r="429">
          <cell r="A429">
            <v>45988</v>
          </cell>
          <cell r="B429">
            <v>655.05632247191966</v>
          </cell>
          <cell r="D429">
            <v>747.91627048208147</v>
          </cell>
          <cell r="E429">
            <v>867.9118903489034</v>
          </cell>
          <cell r="F429">
            <v>794.73772828722076</v>
          </cell>
        </row>
        <row r="430">
          <cell r="A430">
            <v>45989</v>
          </cell>
          <cell r="B430">
            <v>656.42654340592878</v>
          </cell>
          <cell r="D430">
            <v>747.61499667007433</v>
          </cell>
          <cell r="E430">
            <v>864.29714086524768</v>
          </cell>
          <cell r="F430">
            <v>790.63388467348977</v>
          </cell>
          <cell r="G430">
            <v>731.62478589550165</v>
          </cell>
        </row>
        <row r="431">
          <cell r="A431">
            <v>45992</v>
          </cell>
          <cell r="B431">
            <v>655.57170558723021</v>
          </cell>
          <cell r="D431">
            <v>743.8800760190793</v>
          </cell>
          <cell r="E431">
            <v>862.735340914532</v>
          </cell>
          <cell r="F431">
            <v>790.85122612211637</v>
          </cell>
          <cell r="G431">
            <v>731.98050518202433</v>
          </cell>
        </row>
        <row r="432">
          <cell r="A432">
            <v>45993</v>
          </cell>
          <cell r="B432">
            <v>656.12079451326917</v>
          </cell>
          <cell r="D432">
            <v>742.60706864701979</v>
          </cell>
          <cell r="E432">
            <v>860.14172362117756</v>
          </cell>
          <cell r="F432">
            <v>790.72969012545752</v>
          </cell>
          <cell r="G432">
            <v>728.83961392932758</v>
          </cell>
        </row>
        <row r="433">
          <cell r="A433">
            <v>45994</v>
          </cell>
          <cell r="B433">
            <v>656.15486609766333</v>
          </cell>
          <cell r="D433">
            <v>742.67251435811374</v>
          </cell>
          <cell r="E433">
            <v>859.899380201903</v>
          </cell>
          <cell r="F433">
            <v>790.80376290378092</v>
          </cell>
          <cell r="G433">
            <v>729.93738049372246</v>
          </cell>
        </row>
        <row r="434">
          <cell r="A434">
            <v>45995</v>
          </cell>
          <cell r="B434">
            <v>656.30227986948046</v>
          </cell>
          <cell r="D434">
            <v>743.16298087727159</v>
          </cell>
          <cell r="E434">
            <v>860.9504614574081</v>
          </cell>
          <cell r="F434">
            <v>796.18397637807971</v>
          </cell>
          <cell r="G434">
            <v>730.65103833941521</v>
          </cell>
        </row>
        <row r="435">
          <cell r="A435">
            <v>45996</v>
          </cell>
          <cell r="B435">
            <v>657.43177500000002</v>
          </cell>
          <cell r="D435">
            <v>744.83834043459967</v>
          </cell>
          <cell r="E435">
            <v>863.07872078908247</v>
          </cell>
          <cell r="F435">
            <v>791.82904712208403</v>
          </cell>
          <cell r="G435">
            <v>730.58080526810909</v>
          </cell>
        </row>
        <row r="436">
          <cell r="A436">
            <v>46000</v>
          </cell>
          <cell r="D436">
            <v>743.48630498485431</v>
          </cell>
          <cell r="E436">
            <v>860.48743596882241</v>
          </cell>
          <cell r="F436">
            <v>788.21417516262682</v>
          </cell>
          <cell r="G436">
            <v>732.19822644806732</v>
          </cell>
        </row>
        <row r="437">
          <cell r="A437">
            <v>46001</v>
          </cell>
          <cell r="D437">
            <v>742.57359928440235</v>
          </cell>
          <cell r="E437">
            <v>860.58681907711741</v>
          </cell>
          <cell r="F437">
            <v>785.84933256821898</v>
          </cell>
          <cell r="G437">
            <v>728.7358989352557</v>
          </cell>
        </row>
        <row r="438">
          <cell r="A438">
            <v>46002</v>
          </cell>
          <cell r="D438">
            <v>745.72209668760934</v>
          </cell>
          <cell r="E438">
            <v>862.52293081376422</v>
          </cell>
          <cell r="F438">
            <v>786.86072577070343</v>
          </cell>
          <cell r="G438">
            <v>734.20924204000266</v>
          </cell>
        </row>
        <row r="439">
          <cell r="A439">
            <v>46003</v>
          </cell>
          <cell r="D439">
            <v>748.74002078146918</v>
          </cell>
          <cell r="E439">
            <v>862.37512988742731</v>
          </cell>
          <cell r="F439">
            <v>787.72295977869101</v>
          </cell>
          <cell r="G439">
            <v>736.06313252517032</v>
          </cell>
        </row>
        <row r="440">
          <cell r="A440">
            <v>46006</v>
          </cell>
          <cell r="C440">
            <v>714.93841451719072</v>
          </cell>
          <cell r="D440">
            <v>755.54177169983052</v>
          </cell>
          <cell r="E440">
            <v>871.39921602655738</v>
          </cell>
          <cell r="F440">
            <v>791.5279437783297</v>
          </cell>
          <cell r="G440">
            <v>738.52964817255986</v>
          </cell>
          <cell r="K440">
            <v>809.45962227277528</v>
          </cell>
        </row>
        <row r="441">
          <cell r="A441">
            <v>46007</v>
          </cell>
          <cell r="C441">
            <v>714.66937513335517</v>
          </cell>
          <cell r="D441">
            <v>753.83228812940604</v>
          </cell>
          <cell r="E441">
            <v>873.41106544590775</v>
          </cell>
          <cell r="F441">
            <v>799.08226518298989</v>
          </cell>
          <cell r="G441">
            <v>741.32088497664245</v>
          </cell>
          <cell r="K441">
            <v>820.09088343532176</v>
          </cell>
        </row>
        <row r="442">
          <cell r="A442">
            <v>46008</v>
          </cell>
          <cell r="C442">
            <v>715.43168767499481</v>
          </cell>
          <cell r="D442">
            <v>755.00393913734104</v>
          </cell>
          <cell r="E442">
            <v>876.51994521607662</v>
          </cell>
          <cell r="F442">
            <v>795.17525129159355</v>
          </cell>
          <cell r="G442">
            <v>743.01403275036296</v>
          </cell>
          <cell r="K442">
            <v>815.0112648693804</v>
          </cell>
        </row>
        <row r="443">
          <cell r="A443">
            <v>46009</v>
          </cell>
          <cell r="C443">
            <v>715.8530886109636</v>
          </cell>
          <cell r="D443">
            <v>758.01196511570572</v>
          </cell>
          <cell r="E443">
            <v>877.13485424463363</v>
          </cell>
          <cell r="F443">
            <v>798.2851710334935</v>
          </cell>
          <cell r="G443">
            <v>743.3927004556474</v>
          </cell>
          <cell r="K443">
            <v>814.06733017207023</v>
          </cell>
        </row>
        <row r="444">
          <cell r="A444">
            <v>46010</v>
          </cell>
          <cell r="C444">
            <v>716.35550563835886</v>
          </cell>
          <cell r="D444">
            <v>758.78055502109362</v>
          </cell>
          <cell r="E444">
            <v>879.13464539946688</v>
          </cell>
          <cell r="F444">
            <v>800.89857828237291</v>
          </cell>
          <cell r="G444">
            <v>743.34709488800934</v>
          </cell>
          <cell r="K444">
            <v>817.02757655468611</v>
          </cell>
        </row>
        <row r="445">
          <cell r="A445">
            <v>46013</v>
          </cell>
          <cell r="C445">
            <v>714.66884110739966</v>
          </cell>
          <cell r="D445">
            <v>758.7567429840002</v>
          </cell>
          <cell r="E445">
            <v>874.51665350373707</v>
          </cell>
          <cell r="F445">
            <v>800.20917722585978</v>
          </cell>
          <cell r="G445">
            <v>742.52285941683397</v>
          </cell>
          <cell r="K445">
            <v>815.89831673942285</v>
          </cell>
        </row>
        <row r="446">
          <cell r="A446">
            <v>46014</v>
          </cell>
          <cell r="C446">
            <v>715.49131341516488</v>
          </cell>
          <cell r="D446">
            <v>758.44980565471167</v>
          </cell>
          <cell r="E446">
            <v>876.94278050019898</v>
          </cell>
          <cell r="F446">
            <v>801.303111778313</v>
          </cell>
          <cell r="G446">
            <v>744.63793946195483</v>
          </cell>
          <cell r="K446">
            <v>822.81036868122169</v>
          </cell>
        </row>
        <row r="447">
          <cell r="A447">
            <v>46015</v>
          </cell>
          <cell r="C447">
            <v>718.08721595240058</v>
          </cell>
          <cell r="D447">
            <v>760.05033307553958</v>
          </cell>
          <cell r="E447">
            <v>883.29141463655935</v>
          </cell>
          <cell r="F447">
            <v>797.53076701608074</v>
          </cell>
          <cell r="G447">
            <v>748.7193880403737</v>
          </cell>
        </row>
        <row r="448">
          <cell r="A448">
            <v>46017</v>
          </cell>
          <cell r="C448">
            <v>716.64554905567684</v>
          </cell>
          <cell r="D448">
            <v>758.91596827996386</v>
          </cell>
          <cell r="E448">
            <v>875.72230875190564</v>
          </cell>
          <cell r="F448">
            <v>801.78194543849395</v>
          </cell>
          <cell r="G448">
            <v>746.32848192839117</v>
          </cell>
          <cell r="K448">
            <v>822.17146693203597</v>
          </cell>
        </row>
        <row r="449">
          <cell r="A449">
            <v>46020</v>
          </cell>
          <cell r="C449">
            <v>713.85084860620191</v>
          </cell>
          <cell r="D449">
            <v>755.20179761688735</v>
          </cell>
          <cell r="E449">
            <v>881.02389729934339</v>
          </cell>
          <cell r="F449">
            <v>799.63678252790385</v>
          </cell>
          <cell r="G449">
            <v>743.68980577763659</v>
          </cell>
          <cell r="K449">
            <v>816.45597689140266</v>
          </cell>
        </row>
        <row r="450">
          <cell r="A450">
            <v>46021</v>
          </cell>
          <cell r="C450">
            <v>716.7392628437741</v>
          </cell>
          <cell r="D450">
            <v>757.52009460935619</v>
          </cell>
          <cell r="E450">
            <v>875.19452276399829</v>
          </cell>
          <cell r="F450">
            <v>795.62831372987159</v>
          </cell>
          <cell r="G450">
            <v>746.42978250536748</v>
          </cell>
          <cell r="K450">
            <v>806.07028544113155</v>
          </cell>
        </row>
        <row r="451">
          <cell r="A451">
            <v>46024</v>
          </cell>
          <cell r="C451">
            <v>715.20295324840947</v>
          </cell>
          <cell r="D451">
            <v>756.45808739431004</v>
          </cell>
          <cell r="E451">
            <v>885.22705245271823</v>
          </cell>
          <cell r="F451">
            <v>802.34405277706503</v>
          </cell>
          <cell r="G451">
            <v>745.65465887264872</v>
          </cell>
          <cell r="K451">
            <v>826.62254883776052</v>
          </cell>
        </row>
        <row r="452">
          <cell r="A452">
            <v>46027</v>
          </cell>
          <cell r="C452">
            <v>716.14336283631712</v>
          </cell>
          <cell r="D452">
            <v>756.12385738296757</v>
          </cell>
          <cell r="E452">
            <v>885.01973403108946</v>
          </cell>
          <cell r="F452">
            <v>807.6708181479728</v>
          </cell>
          <cell r="G452">
            <v>743.60122103509855</v>
          </cell>
          <cell r="K452">
            <v>818.14442056001656</v>
          </cell>
        </row>
        <row r="453">
          <cell r="A453">
            <v>46028</v>
          </cell>
          <cell r="C453">
            <v>716.27877249109849</v>
          </cell>
          <cell r="D453">
            <v>756.58119857677559</v>
          </cell>
          <cell r="E453">
            <v>884.98646370885433</v>
          </cell>
          <cell r="F453">
            <v>811.69920986909574</v>
          </cell>
          <cell r="G453">
            <v>742.97856491045411</v>
          </cell>
          <cell r="K453">
            <v>811.79085881725769</v>
          </cell>
        </row>
        <row r="454">
          <cell r="A454">
            <v>46029</v>
          </cell>
          <cell r="C454">
            <v>716.20246242991891</v>
          </cell>
          <cell r="D454">
            <v>758.42492936808458</v>
          </cell>
          <cell r="E454">
            <v>884.95022930566154</v>
          </cell>
          <cell r="F454">
            <v>810.8678024217777</v>
          </cell>
          <cell r="G454">
            <v>747.30030993878984</v>
          </cell>
          <cell r="K454">
            <v>819.68105070177774</v>
          </cell>
        </row>
        <row r="455">
          <cell r="A455">
            <v>46030</v>
          </cell>
          <cell r="C455">
            <v>716.7000341314083</v>
          </cell>
          <cell r="D455">
            <v>759.08263290993489</v>
          </cell>
          <cell r="E455">
            <v>885.5187446869287</v>
          </cell>
          <cell r="F455">
            <v>810.54381421030473</v>
          </cell>
          <cell r="G455">
            <v>746.30785884659872</v>
          </cell>
          <cell r="K455">
            <v>821.30134917855094</v>
          </cell>
        </row>
        <row r="456">
          <cell r="A456">
            <v>46031</v>
          </cell>
          <cell r="C456">
            <v>718.89297404507533</v>
          </cell>
          <cell r="D456">
            <v>764.31617790348037</v>
          </cell>
          <cell r="E456">
            <v>890.19259590171555</v>
          </cell>
          <cell r="F456">
            <v>816.27809444006732</v>
          </cell>
          <cell r="G456">
            <v>749.64418596319126</v>
          </cell>
          <cell r="K456">
            <v>826.44346816390453</v>
          </cell>
        </row>
        <row r="457">
          <cell r="A457">
            <v>46034</v>
          </cell>
          <cell r="C457">
            <v>717.3647537221367</v>
          </cell>
          <cell r="D457">
            <v>765.30477289854559</v>
          </cell>
          <cell r="E457">
            <v>891.9606835215518</v>
          </cell>
          <cell r="F457">
            <v>813.28385875196966</v>
          </cell>
          <cell r="G457">
            <v>748.66841513749137</v>
          </cell>
          <cell r="K457">
            <v>824.98688068243291</v>
          </cell>
        </row>
        <row r="458">
          <cell r="A458">
            <v>46035</v>
          </cell>
          <cell r="C458">
            <v>719.5687428520597</v>
          </cell>
          <cell r="D458">
            <v>766.03342344613964</v>
          </cell>
          <cell r="E458">
            <v>895.17880117573736</v>
          </cell>
          <cell r="F458">
            <v>815.82022873325491</v>
          </cell>
          <cell r="G458">
            <v>751.7417545851614</v>
          </cell>
          <cell r="K458">
            <v>828.92298304967233</v>
          </cell>
        </row>
        <row r="459">
          <cell r="A459">
            <v>46036</v>
          </cell>
          <cell r="C459">
            <v>719.77816519403166</v>
          </cell>
          <cell r="D459">
            <v>765.16612131451416</v>
          </cell>
          <cell r="E459">
            <v>893.68771601822334</v>
          </cell>
          <cell r="F459">
            <v>815.2103042013847</v>
          </cell>
          <cell r="G459">
            <v>751.78007151245288</v>
          </cell>
          <cell r="K459">
            <v>837.03166239080838</v>
          </cell>
        </row>
        <row r="460">
          <cell r="A460">
            <v>46037</v>
          </cell>
          <cell r="C460">
            <v>720.00404785478474</v>
          </cell>
          <cell r="D460">
            <v>766.54647877222408</v>
          </cell>
          <cell r="E460">
            <v>888.10964951284416</v>
          </cell>
          <cell r="F460">
            <v>812.66992145467941</v>
          </cell>
          <cell r="G460">
            <v>752.03996858555081</v>
          </cell>
          <cell r="K460">
            <v>828.4593115843586</v>
          </cell>
        </row>
        <row r="461">
          <cell r="A461">
            <v>46038</v>
          </cell>
          <cell r="C461">
            <v>720.0743586165953</v>
          </cell>
          <cell r="D461">
            <v>767.64326942470461</v>
          </cell>
          <cell r="E461">
            <v>886.05276686277637</v>
          </cell>
          <cell r="F461">
            <v>814.97391159951485</v>
          </cell>
          <cell r="G461">
            <v>754.50008839217287</v>
          </cell>
          <cell r="K461">
            <v>830.61994134811698</v>
          </cell>
        </row>
        <row r="462">
          <cell r="A462">
            <v>46041</v>
          </cell>
          <cell r="C462">
            <v>717.22469607986795</v>
          </cell>
          <cell r="D462">
            <v>762.62608220578693</v>
          </cell>
          <cell r="E462">
            <v>880.9074630314509</v>
          </cell>
          <cell r="F462">
            <v>807.43289318993789</v>
          </cell>
          <cell r="G462">
            <v>751.8347642150876</v>
          </cell>
          <cell r="K462">
            <v>826.73493273535018</v>
          </cell>
        </row>
        <row r="463">
          <cell r="A463">
            <v>46042</v>
          </cell>
          <cell r="C463">
            <v>716.26901202832323</v>
          </cell>
          <cell r="D463">
            <v>763.16763658261368</v>
          </cell>
          <cell r="E463">
            <v>878.56205534985986</v>
          </cell>
          <cell r="F463">
            <v>807.66083848991855</v>
          </cell>
          <cell r="G463">
            <v>747.87708793788738</v>
          </cell>
          <cell r="K463">
            <v>825.77866981063505</v>
          </cell>
        </row>
        <row r="464">
          <cell r="A464">
            <v>46043</v>
          </cell>
          <cell r="C464">
            <v>716.22596033619413</v>
          </cell>
          <cell r="D464">
            <v>761.89587608696968</v>
          </cell>
          <cell r="E464">
            <v>880.58327240927463</v>
          </cell>
          <cell r="F464">
            <v>811.93471282061637</v>
          </cell>
          <cell r="G464">
            <v>748.59144282218176</v>
          </cell>
          <cell r="K464">
            <v>820.85585955396482</v>
          </cell>
        </row>
        <row r="465">
          <cell r="A465">
            <v>46044</v>
          </cell>
          <cell r="C465">
            <v>715.98646684968537</v>
          </cell>
          <cell r="D465">
            <v>761.97148138714738</v>
          </cell>
          <cell r="E465">
            <v>883.85284449799144</v>
          </cell>
          <cell r="F465">
            <v>815.5869626652219</v>
          </cell>
          <cell r="G465">
            <v>746.74777220216322</v>
          </cell>
          <cell r="K465">
            <v>822.17001789661504</v>
          </cell>
        </row>
        <row r="466">
          <cell r="A466">
            <v>46045</v>
          </cell>
          <cell r="C466">
            <v>718.4281258528348</v>
          </cell>
          <cell r="D466">
            <v>763.53058172673093</v>
          </cell>
          <cell r="E466">
            <v>882.24257594002495</v>
          </cell>
          <cell r="F466">
            <v>814.5453293391912</v>
          </cell>
          <cell r="G466">
            <v>748.92502443739534</v>
          </cell>
          <cell r="K466">
            <v>822.34653541491377</v>
          </cell>
        </row>
        <row r="467">
          <cell r="A467">
            <v>46048</v>
          </cell>
          <cell r="C467">
            <v>718.11032145148465</v>
          </cell>
          <cell r="D467">
            <v>763.9105248474832</v>
          </cell>
          <cell r="E467">
            <v>883.08057151376738</v>
          </cell>
          <cell r="F467">
            <v>813.44320984286765</v>
          </cell>
          <cell r="G467">
            <v>749.13663184673544</v>
          </cell>
          <cell r="K467">
            <v>823.03948738344513</v>
          </cell>
        </row>
        <row r="468">
          <cell r="A468">
            <v>46049</v>
          </cell>
          <cell r="C468">
            <v>718.33142147588046</v>
          </cell>
          <cell r="D468">
            <v>762.71075044289989</v>
          </cell>
          <cell r="E468">
            <v>879.45389424085863</v>
          </cell>
          <cell r="F468">
            <v>814.97353728076962</v>
          </cell>
          <cell r="G468">
            <v>746.84921805093404</v>
          </cell>
          <cell r="K468">
            <v>824.39223751881877</v>
          </cell>
        </row>
        <row r="469">
          <cell r="A469">
            <v>46050</v>
          </cell>
          <cell r="C469">
            <v>718.48285576714295</v>
          </cell>
          <cell r="D469">
            <v>763.00180030178706</v>
          </cell>
          <cell r="E469">
            <v>878.80294054607305</v>
          </cell>
          <cell r="F469">
            <v>811.52554923245475</v>
          </cell>
          <cell r="G469">
            <v>744.01306907039714</v>
          </cell>
          <cell r="K469">
            <v>824.88362131973236</v>
          </cell>
        </row>
        <row r="470">
          <cell r="A470">
            <v>46051</v>
          </cell>
          <cell r="C470">
            <v>718.41569725041143</v>
          </cell>
          <cell r="D470">
            <v>760.24366636348554</v>
          </cell>
          <cell r="E470">
            <v>879.09483662343325</v>
          </cell>
          <cell r="F470">
            <v>810.66523867080718</v>
          </cell>
          <cell r="G470">
            <v>747.06938207501196</v>
          </cell>
          <cell r="K470">
            <v>825.71508761118469</v>
          </cell>
        </row>
        <row r="471">
          <cell r="A471">
            <v>46052</v>
          </cell>
          <cell r="C471">
            <v>720.14980458799346</v>
          </cell>
          <cell r="D471">
            <v>760.70366390086554</v>
          </cell>
          <cell r="E471">
            <v>879.60801068432966</v>
          </cell>
          <cell r="F471">
            <v>809.73450762315974</v>
          </cell>
          <cell r="G471">
            <v>747.6030306355741</v>
          </cell>
          <cell r="I471">
            <v>777.07506067273994</v>
          </cell>
          <cell r="K471">
            <v>829.2739213118756</v>
          </cell>
        </row>
        <row r="472">
          <cell r="A472">
            <v>46055</v>
          </cell>
          <cell r="C472">
            <v>719.55888358417008</v>
          </cell>
          <cell r="D472">
            <v>760.37686484912683</v>
          </cell>
          <cell r="E472">
            <v>879.53131653836851</v>
          </cell>
          <cell r="F472">
            <v>807.72176931828358</v>
          </cell>
          <cell r="G472">
            <v>745.88974086994438</v>
          </cell>
          <cell r="I472">
            <v>774.7323684485267</v>
          </cell>
          <cell r="K472">
            <v>829.14165409880445</v>
          </cell>
        </row>
        <row r="473">
          <cell r="A473">
            <v>46056</v>
          </cell>
          <cell r="C473">
            <v>719.33058915297408</v>
          </cell>
          <cell r="D473">
            <v>761.97848118932382</v>
          </cell>
          <cell r="E473">
            <v>880.26680499259965</v>
          </cell>
          <cell r="F473">
            <v>812.69067134737486</v>
          </cell>
          <cell r="G473">
            <v>750.11440217384506</v>
          </cell>
          <cell r="I473">
            <v>779.68210309387405</v>
          </cell>
          <cell r="K473">
            <v>824.50380698992149</v>
          </cell>
        </row>
        <row r="474">
          <cell r="A474">
            <v>46057</v>
          </cell>
          <cell r="C474">
            <v>719.61168020130413</v>
          </cell>
          <cell r="D474">
            <v>763.29822583389546</v>
          </cell>
          <cell r="E474">
            <v>884.5808251435152</v>
          </cell>
          <cell r="F474">
            <v>816.74435647488122</v>
          </cell>
          <cell r="G474">
            <v>748.94898375030141</v>
          </cell>
          <cell r="I474">
            <v>779.46470590416243</v>
          </cell>
          <cell r="K474">
            <v>832.12178984469517</v>
          </cell>
        </row>
        <row r="475">
          <cell r="A475">
            <v>46058</v>
          </cell>
          <cell r="C475">
            <v>719.8652533765802</v>
          </cell>
          <cell r="D475">
            <v>768.27514682186506</v>
          </cell>
          <cell r="E475">
            <v>893.16424198299512</v>
          </cell>
          <cell r="F475">
            <v>820.79356959280767</v>
          </cell>
          <cell r="G475">
            <v>752.38406775580677</v>
          </cell>
          <cell r="I475">
            <v>781.60406319918798</v>
          </cell>
          <cell r="K475">
            <v>835.93876766072879</v>
          </cell>
        </row>
        <row r="476">
          <cell r="A476">
            <v>46059</v>
          </cell>
          <cell r="C476">
            <v>720.77371950415511</v>
          </cell>
          <cell r="D476">
            <v>769.58959482884688</v>
          </cell>
          <cell r="E476">
            <v>893.91992751874398</v>
          </cell>
          <cell r="F476">
            <v>825.3335182380406</v>
          </cell>
          <cell r="G476">
            <v>753.98864210764293</v>
          </cell>
          <cell r="I476">
            <v>784.9172567867364</v>
          </cell>
          <cell r="K476">
            <v>834.89449812787893</v>
          </cell>
        </row>
        <row r="477">
          <cell r="A477">
            <v>46062</v>
          </cell>
          <cell r="C477">
            <v>720.17020724756105</v>
          </cell>
          <cell r="D477">
            <v>770.18462152793916</v>
          </cell>
          <cell r="E477">
            <v>895.63610932163954</v>
          </cell>
          <cell r="F477">
            <v>828.38619997808348</v>
          </cell>
          <cell r="G477">
            <v>752.70186163973995</v>
          </cell>
          <cell r="I477">
            <v>786.72673407110676</v>
          </cell>
          <cell r="K477">
            <v>838.11219574821985</v>
          </cell>
        </row>
        <row r="478">
          <cell r="A478">
            <v>46063</v>
          </cell>
          <cell r="C478">
            <v>722.52197154857583</v>
          </cell>
          <cell r="D478">
            <v>771.18907932849663</v>
          </cell>
          <cell r="E478">
            <v>894.0816396689878</v>
          </cell>
          <cell r="F478">
            <v>829.64349534763778</v>
          </cell>
          <cell r="G478">
            <v>755.23705523359968</v>
          </cell>
          <cell r="I478">
            <v>787.05740709358327</v>
          </cell>
          <cell r="K478">
            <v>843.99296816063395</v>
          </cell>
        </row>
        <row r="479">
          <cell r="A479">
            <v>46064</v>
          </cell>
          <cell r="C479">
            <v>722.57003427198322</v>
          </cell>
          <cell r="D479">
            <v>771.88950613221425</v>
          </cell>
          <cell r="E479">
            <v>894.38632865877469</v>
          </cell>
          <cell r="F479">
            <v>824.36647588537107</v>
          </cell>
          <cell r="G479">
            <v>754.98494298233561</v>
          </cell>
          <cell r="I479">
            <v>786.66410720292447</v>
          </cell>
          <cell r="K479">
            <v>841.79300501997761</v>
          </cell>
        </row>
        <row r="480">
          <cell r="A480">
            <v>46065</v>
          </cell>
          <cell r="C480">
            <v>723.00779717042622</v>
          </cell>
          <cell r="D480">
            <v>770.59882062865711</v>
          </cell>
          <cell r="E480">
            <v>893.72178219958073</v>
          </cell>
          <cell r="F480">
            <v>826.18783297713844</v>
          </cell>
          <cell r="G480">
            <v>757.14613625649781</v>
          </cell>
          <cell r="I480">
            <v>784.87853162351996</v>
          </cell>
          <cell r="K480">
            <v>839.87291784328875</v>
          </cell>
        </row>
        <row r="481">
          <cell r="A481">
            <v>46066</v>
          </cell>
          <cell r="C481">
            <v>725.53376377549375</v>
          </cell>
          <cell r="D481">
            <v>771.75180744286729</v>
          </cell>
          <cell r="E481">
            <v>898.94595972869899</v>
          </cell>
          <cell r="F481">
            <v>822.34360872472473</v>
          </cell>
          <cell r="G481">
            <v>759.14914135766696</v>
          </cell>
          <cell r="I481">
            <v>788.09325380538883</v>
          </cell>
          <cell r="K481">
            <v>833.61817316934912</v>
          </cell>
        </row>
        <row r="482">
          <cell r="A482">
            <v>46071</v>
          </cell>
          <cell r="C482">
            <v>723.1204923265675</v>
          </cell>
          <cell r="D482">
            <v>769.9850461481235</v>
          </cell>
          <cell r="E482">
            <v>897.98665315250298</v>
          </cell>
          <cell r="F482">
            <v>821.9469787999119</v>
          </cell>
          <cell r="G482">
            <v>758.48042647926286</v>
          </cell>
          <cell r="I482">
            <v>789.66754423851421</v>
          </cell>
          <cell r="K482">
            <v>833.79111062496759</v>
          </cell>
        </row>
        <row r="483">
          <cell r="A483">
            <v>46072</v>
          </cell>
          <cell r="C483">
            <v>722.70252905458574</v>
          </cell>
          <cell r="D483">
            <v>773.20306581115074</v>
          </cell>
          <cell r="E483">
            <v>900.09989075416149</v>
          </cell>
          <cell r="F483">
            <v>820.76736854885201</v>
          </cell>
          <cell r="G483">
            <v>758.48048407976296</v>
          </cell>
          <cell r="I483">
            <v>789.27156210149178</v>
          </cell>
          <cell r="K483">
            <v>839.60613856414898</v>
          </cell>
        </row>
        <row r="484">
          <cell r="A484">
            <v>46073</v>
          </cell>
          <cell r="C484">
            <v>724.03145390760369</v>
          </cell>
          <cell r="D484">
            <v>772.78687741747126</v>
          </cell>
          <cell r="E484">
            <v>899.98297867730639</v>
          </cell>
          <cell r="F484">
            <v>816.87259525497359</v>
          </cell>
          <cell r="G484">
            <v>759.41505658868698</v>
          </cell>
          <cell r="I484">
            <v>791.0247038225242</v>
          </cell>
          <cell r="K484">
            <v>840.4235625197997</v>
          </cell>
        </row>
        <row r="485">
          <cell r="A485">
            <v>46076</v>
          </cell>
          <cell r="C485">
            <v>722.46838479813994</v>
          </cell>
          <cell r="D485">
            <v>771.40693629108637</v>
          </cell>
          <cell r="E485">
            <v>896.84859278409169</v>
          </cell>
          <cell r="F485">
            <v>818.82340412123517</v>
          </cell>
          <cell r="G485">
            <v>758.10442424182258</v>
          </cell>
          <cell r="I485">
            <v>790.12453374168877</v>
          </cell>
          <cell r="K485">
            <v>840.12873573864772</v>
          </cell>
        </row>
        <row r="486">
          <cell r="A486">
            <v>46077</v>
          </cell>
          <cell r="C486">
            <v>722.47795210381037</v>
          </cell>
          <cell r="D486">
            <v>769.30633694374978</v>
          </cell>
          <cell r="E486">
            <v>889.54685451047737</v>
          </cell>
          <cell r="F486">
            <v>817.16062174446017</v>
          </cell>
          <cell r="G486">
            <v>755.68912870661256</v>
          </cell>
          <cell r="I486">
            <v>784.25398466326396</v>
          </cell>
          <cell r="K486">
            <v>834.84265768396858</v>
          </cell>
        </row>
        <row r="487">
          <cell r="A487">
            <v>46078</v>
          </cell>
          <cell r="C487">
            <v>722.81743214226549</v>
          </cell>
          <cell r="D487">
            <v>769.68262561403276</v>
          </cell>
          <cell r="E487">
            <v>887.49012844324136</v>
          </cell>
          <cell r="F487">
            <v>819.0029812359453</v>
          </cell>
          <cell r="G487">
            <v>756.90017988719705</v>
          </cell>
          <cell r="I487">
            <v>784.03691695001817</v>
          </cell>
          <cell r="K487">
            <v>833.22448083786162</v>
          </cell>
        </row>
        <row r="488">
          <cell r="A488">
            <v>46079</v>
          </cell>
          <cell r="C488">
            <v>723.09501000043451</v>
          </cell>
          <cell r="D488">
            <v>770.73786501322854</v>
          </cell>
          <cell r="E488">
            <v>887.31933582784109</v>
          </cell>
          <cell r="F488">
            <v>820.36541285773046</v>
          </cell>
          <cell r="G488">
            <v>755.51991598899292</v>
          </cell>
          <cell r="I488">
            <v>786.3678333064812</v>
          </cell>
          <cell r="K488">
            <v>836.94366199213619</v>
          </cell>
        </row>
        <row r="489">
          <cell r="A489">
            <v>46080</v>
          </cell>
          <cell r="C489">
            <v>724.12393627675988</v>
          </cell>
          <cell r="D489">
            <v>770.36672009630172</v>
          </cell>
          <cell r="E489">
            <v>891.74008474562913</v>
          </cell>
          <cell r="F489">
            <v>827.81433321730071</v>
          </cell>
          <cell r="G489">
            <v>757.65500955133859</v>
          </cell>
          <cell r="I489">
            <v>783.65611832436184</v>
          </cell>
          <cell r="K489">
            <v>838.82289472586626</v>
          </cell>
        </row>
        <row r="490">
          <cell r="A490">
            <v>46083</v>
          </cell>
          <cell r="C490">
            <v>722.69687611034931</v>
          </cell>
          <cell r="D490">
            <v>768.89426226035823</v>
          </cell>
          <cell r="E490">
            <v>893.51850931396507</v>
          </cell>
          <cell r="F490">
            <v>819.74497447911654</v>
          </cell>
          <cell r="G490">
            <v>757.3995471970552</v>
          </cell>
          <cell r="I490">
            <v>782.72369946577487</v>
          </cell>
          <cell r="K490">
            <v>831.92954019195054</v>
          </cell>
        </row>
        <row r="491">
          <cell r="A491">
            <v>46084</v>
          </cell>
          <cell r="C491">
            <v>722.44322542032535</v>
          </cell>
          <cell r="D491">
            <v>771.28471469632507</v>
          </cell>
          <cell r="E491">
            <v>896.05459152609853</v>
          </cell>
          <cell r="F491">
            <v>822.3732726704518</v>
          </cell>
          <cell r="G491">
            <v>759.70741882549441</v>
          </cell>
          <cell r="I491">
            <v>784.23423059716288</v>
          </cell>
          <cell r="K491">
            <v>831.9898280316396</v>
          </cell>
        </row>
        <row r="492">
          <cell r="A492">
            <v>46085</v>
          </cell>
          <cell r="C492">
            <v>722.53913404059813</v>
          </cell>
          <cell r="D492">
            <v>773.00615541552474</v>
          </cell>
          <cell r="E492">
            <v>899.72794448472598</v>
          </cell>
          <cell r="F492">
            <v>824.99044063446127</v>
          </cell>
          <cell r="G492">
            <v>758.64331208057627</v>
          </cell>
          <cell r="I492">
            <v>788.48423177350344</v>
          </cell>
          <cell r="K492">
            <v>835.19955408650139</v>
          </cell>
        </row>
        <row r="493">
          <cell r="A493">
            <v>46086</v>
          </cell>
          <cell r="C493">
            <v>722.89599144360955</v>
          </cell>
          <cell r="D493">
            <v>772.31422080522304</v>
          </cell>
          <cell r="E493">
            <v>901.26516582118074</v>
          </cell>
          <cell r="F493">
            <v>830.42410079692525</v>
          </cell>
          <cell r="G493">
            <v>757.77170026853094</v>
          </cell>
          <cell r="I493">
            <v>789.25981803974344</v>
          </cell>
          <cell r="K493">
            <v>840.91102885132261</v>
          </cell>
        </row>
        <row r="494">
          <cell r="A494">
            <v>46087</v>
          </cell>
          <cell r="C494">
            <v>724.21333859549895</v>
          </cell>
          <cell r="D494">
            <v>773.89171319090815</v>
          </cell>
          <cell r="E494">
            <v>904.09912387492466</v>
          </cell>
          <cell r="F494">
            <v>831.40313277343876</v>
          </cell>
          <cell r="G494">
            <v>760.00586318264618</v>
          </cell>
          <cell r="I494">
            <v>791.00857485828044</v>
          </cell>
          <cell r="K494">
            <v>848.29078631640471</v>
          </cell>
        </row>
        <row r="495">
          <cell r="A495">
            <v>46090</v>
          </cell>
          <cell r="C495">
            <v>722.82303255636066</v>
          </cell>
          <cell r="D495">
            <v>773.5495806431951</v>
          </cell>
          <cell r="E495">
            <v>902.86270942781732</v>
          </cell>
          <cell r="F495">
            <v>832.91655546743857</v>
          </cell>
          <cell r="G495">
            <v>758.85222049120568</v>
          </cell>
          <cell r="I495">
            <v>788.24155009688127</v>
          </cell>
          <cell r="K495">
            <v>850.09989517499378</v>
          </cell>
        </row>
        <row r="496">
          <cell r="A496">
            <v>46091</v>
          </cell>
          <cell r="C496">
            <v>722.89827411316787</v>
          </cell>
          <cell r="D496">
            <v>773.85374056794365</v>
          </cell>
          <cell r="E496">
            <v>900.48260678345275</v>
          </cell>
          <cell r="F496">
            <v>832.21310617378981</v>
          </cell>
          <cell r="G496">
            <v>759.64276198890298</v>
          </cell>
          <cell r="I496">
            <v>788.88125830766114</v>
          </cell>
          <cell r="K496">
            <v>848.15557978939239</v>
          </cell>
        </row>
        <row r="497">
          <cell r="A497">
            <v>46092</v>
          </cell>
          <cell r="C497">
            <v>723.31091918101129</v>
          </cell>
          <cell r="D497">
            <v>773.05069859613479</v>
          </cell>
          <cell r="E497">
            <v>895.99927170704348</v>
          </cell>
          <cell r="F497">
            <v>829.13705347769985</v>
          </cell>
          <cell r="G497">
            <v>757.92446588017424</v>
          </cell>
          <cell r="I497">
            <v>788.95456729807586</v>
          </cell>
          <cell r="K497">
            <v>848.14315807042021</v>
          </cell>
        </row>
        <row r="498">
          <cell r="A498">
            <v>46093</v>
          </cell>
          <cell r="C498">
            <v>723.45167001655227</v>
          </cell>
          <cell r="D498">
            <v>777.21449099362417</v>
          </cell>
          <cell r="E498">
            <v>902.84390825244293</v>
          </cell>
          <cell r="F498">
            <v>836.23128530241786</v>
          </cell>
          <cell r="G498">
            <v>763.21074947710815</v>
          </cell>
          <cell r="I498">
            <v>795.46617202150435</v>
          </cell>
          <cell r="K498">
            <v>853.86734430452827</v>
          </cell>
        </row>
        <row r="499">
          <cell r="A499">
            <v>46094</v>
          </cell>
          <cell r="C499">
            <v>724.23293859521436</v>
          </cell>
          <cell r="D499">
            <v>780.56517964660975</v>
          </cell>
          <cell r="E499">
            <v>911.8537367812429</v>
          </cell>
          <cell r="F499">
            <v>840.48430878095462</v>
          </cell>
          <cell r="G499">
            <v>764.14770756229279</v>
          </cell>
          <cell r="I499">
            <v>796.46314353562582</v>
          </cell>
          <cell r="K499">
            <v>854.81388314398384</v>
          </cell>
        </row>
        <row r="500">
          <cell r="A500">
            <v>46097</v>
          </cell>
          <cell r="C500">
            <v>723.306139642375</v>
          </cell>
          <cell r="D500">
            <v>781.91654324110937</v>
          </cell>
          <cell r="E500">
            <v>918.34320081649412</v>
          </cell>
          <cell r="F500">
            <v>845.64459148990659</v>
          </cell>
          <cell r="G500">
            <v>763.13008722598022</v>
          </cell>
          <cell r="H500">
            <v>755.67249269746685</v>
          </cell>
          <cell r="I500">
            <v>799.90155472540675</v>
          </cell>
          <cell r="J500">
            <v>832.6389344394828</v>
          </cell>
          <cell r="K500">
            <v>861.63167167225401</v>
          </cell>
        </row>
        <row r="501">
          <cell r="A501">
            <v>46098</v>
          </cell>
          <cell r="C501">
            <v>723.0858415123372</v>
          </cell>
          <cell r="D501">
            <v>781.54582723345186</v>
          </cell>
          <cell r="E501">
            <v>920.9526702051802</v>
          </cell>
          <cell r="F501">
            <v>846.27158363504293</v>
          </cell>
          <cell r="G501">
            <v>764.61844289639635</v>
          </cell>
          <cell r="H501">
            <v>755.70705293814501</v>
          </cell>
          <cell r="I501">
            <v>801.41007313245996</v>
          </cell>
          <cell r="J501">
            <v>831.9144415165224</v>
          </cell>
          <cell r="K501">
            <v>861.4056242905873</v>
          </cell>
        </row>
        <row r="502">
          <cell r="A502">
            <v>46099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f-DzT8LHoEy6ZUfB2rHT-4xkHQ_ZZ81Ah3lFGUsHXLddR1TK7hXqSIIkbB75e3Gg" itemId="01R6PHZ7J5Z4CTG7V7EBHI6L7W6LKJXKDL">
      <xxl21:absoluteUrl r:id="rId2"/>
      <xxl21:relativeUrl r:id="rId3"/>
    </xxl21:alternateUrls>
    <sheetNames>
      <sheetName val="Base cp"/>
      <sheetName val="1. Nuevo IPC Nacional"/>
      <sheetName val="1.1 IPC Nac transp"/>
      <sheetName val="1.2. IPC Trimestral"/>
      <sheetName val="3. IPCGBA Abierto"/>
      <sheetName val="Incidencias"/>
      <sheetName val="Gráfico2"/>
      <sheetName val="4. Proyecciones"/>
      <sheetName val="5. Comp. indices"/>
      <sheetName val="G var IPC prom"/>
      <sheetName val="G IPC s. indices"/>
      <sheetName val="G IPC Nacional"/>
      <sheetName val="Gráfico1"/>
      <sheetName val="6. Incidencia"/>
      <sheetName val="Gr Incidencia"/>
      <sheetName val="G Incidencia"/>
      <sheetName val="G incidencia eng"/>
      <sheetName val="7. Incidencia capitulos"/>
      <sheetName val="g incidencia capitulos"/>
      <sheetName val="8. Distancia reg"/>
      <sheetName val="G Brecha regulados"/>
      <sheetName val="G regulados"/>
      <sheetName val="9. Datos graf relativo"/>
      <sheetName val="Grafico relativo cuad (E)"/>
      <sheetName val="Nuevo IPC GBA"/>
      <sheetName val="G p relativos"/>
      <sheetName val="G p relativos mm12"/>
      <sheetName val="Grafico relativo cuad"/>
      <sheetName val="10. Alimentos"/>
      <sheetName val="G alimentos partic."/>
      <sheetName val="G carnes mm3 2"/>
      <sheetName val="G carnes mm3 E"/>
      <sheetName val="G carnes y ayb"/>
      <sheetName val="G carnes mm3"/>
      <sheetName val="G alim sin carnes"/>
      <sheetName val="G alim sin fyv"/>
      <sheetName val="G Alim var m.m"/>
      <sheetName val="Gráfico33"/>
      <sheetName val="Gráfico34"/>
      <sheetName val="Gráfico35"/>
      <sheetName val="Gráfico38"/>
      <sheetName val="Datos Var. M."/>
      <sheetName val="Gráfico41"/>
      <sheetName val="Hoja2"/>
      <sheetName val="Gráfico45"/>
      <sheetName val="Var m.m."/>
      <sheetName val="datos"/>
      <sheetName val="Principales Aperturas"/>
      <sheetName val="Var mensual"/>
      <sheetName val="Hoja3"/>
      <sheetName val="Gráfico47"/>
      <sheetName val="Hoja5"/>
      <sheetName val="Cuadro ponderadores comparados"/>
      <sheetName val="Cuadro comparativo"/>
      <sheetName val="Gráfico48"/>
      <sheetName val="PIB Coronavirus"/>
      <sheetName val="G ng sin verdu"/>
      <sheetName val="11. Precios Cuidados"/>
      <sheetName val="G Precios Cuidados x gestion"/>
      <sheetName val="12. Milei - convertibilidad"/>
      <sheetName val="Milei - convertibilidad"/>
      <sheetName val="Milei-convert. tcr"/>
      <sheetName val="Milei - convert acum"/>
      <sheetName val="13. IPC usd"/>
      <sheetName val="13.1. Pass-through bienes"/>
      <sheetName val="Gráfico pass-through"/>
      <sheetName val="Gráfico cociente"/>
      <sheetName val="Infla USD deflact."/>
      <sheetName val="Ponderadores"/>
      <sheetName val="Gráfico59"/>
      <sheetName val="G incidencia alim"/>
      <sheetName val="G var mm3"/>
      <sheetName val="2. IPC Trimestral"/>
      <sheetName val="Nuevo IPC Nacional"/>
      <sheetName val="Indice"/>
      <sheetName val="Recre y rest y hoteles"/>
      <sheetName val="Incidencia"/>
      <sheetName val="Gráfico Incidencia"/>
      <sheetName val="g inc eng"/>
      <sheetName val="Incidencia capitulos"/>
      <sheetName val="Gráfico62"/>
      <sheetName val="Chart2"/>
      <sheetName val="Chart3"/>
      <sheetName val="chart 3 bisbis"/>
      <sheetName val="Datos graph 3"/>
      <sheetName val="Gráfico28"/>
      <sheetName val="Precios Cuidados x gestion"/>
      <sheetName val="Precios Cuidados"/>
      <sheetName val="Gráfico10"/>
      <sheetName val="Hoja7"/>
      <sheetName val="IPC Trimestral"/>
      <sheetName val="Proyecciones"/>
      <sheetName val="IPCGBA Abierto"/>
      <sheetName val="Brecha regulados"/>
      <sheetName val="Gráfico14"/>
      <sheetName val="Gráfico52"/>
      <sheetName val="Gráfico29"/>
      <sheetName val="Grafico relativo (E)"/>
      <sheetName val="Grafico relativo"/>
      <sheetName val="Datos graf relativo"/>
      <sheetName val="Alimentos sin carnes"/>
      <sheetName val="Alimentos graf"/>
      <sheetName val="Carnes y alimentos"/>
      <sheetName val="Gráfico7"/>
      <sheetName val="Gráfico8 ing"/>
      <sheetName val="Gráfico17"/>
      <sheetName val="Gráfico6"/>
      <sheetName val="Gráfico3"/>
      <sheetName val="Distancia reg"/>
      <sheetName val="Grafico19"/>
      <sheetName val="Alim var m.m"/>
      <sheetName val="Alimentos"/>
      <sheetName val="Gráfico61"/>
      <sheetName val="Cuadros"/>
      <sheetName val="24,8%"/>
      <sheetName val="Gráfico30"/>
      <sheetName val="Gráfico31"/>
      <sheetName val="Gráfico32"/>
      <sheetName val="Gráfico36"/>
      <sheetName val="Gráfico37"/>
      <sheetName val="Gráfico39"/>
      <sheetName val="Gráfico40"/>
      <sheetName val="Gráfico42"/>
      <sheetName val="Gráfico43"/>
      <sheetName val="Gráfico44"/>
      <sheetName val="Gráfico46"/>
      <sheetName val="Gráfico49"/>
      <sheetName val="Gráfico50"/>
      <sheetName val="Gráfico51"/>
      <sheetName val="Gráfico53"/>
      <sheetName val="Gráfico54"/>
      <sheetName val="Gráfico55"/>
      <sheetName val="Gráfico56"/>
      <sheetName val="Gráfico57"/>
      <sheetName val="Gráfico58"/>
      <sheetName val="Hoja1"/>
      <sheetName val="Gráfico19"/>
      <sheetName val="Hoja1 (2)"/>
      <sheetName val="Gráfico 59"/>
      <sheetName val="Gráfico60"/>
      <sheetName val="graph inc eng"/>
      <sheetName val="graph incidencia capitulos"/>
      <sheetName val="Hoja4"/>
      <sheetName val="Hoja6"/>
      <sheetName val="Gráfico3 bis"/>
      <sheetName val="Gráfico16"/>
      <sheetName val="transp. público"/>
      <sheetName val="Gráfico4"/>
      <sheetName val="Gráfico5"/>
      <sheetName val="Gráfico8"/>
      <sheetName val="Sheet1"/>
      <sheetName val="Sheet2"/>
      <sheetName val="Grafico participacion alimentos"/>
      <sheetName val="Gráfico12"/>
      <sheetName val="Gráfico9 (E)"/>
      <sheetName val="Gráfico9"/>
      <sheetName val="Gráfico11"/>
      <sheetName val="Gráfico13"/>
      <sheetName val="Gráfico20"/>
      <sheetName val="Gráfico3 (E)"/>
      <sheetName val="ipc dolar desagreg"/>
      <sheetName val="ipc dolar"/>
      <sheetName val="Gráfico18"/>
      <sheetName val="Hoja8"/>
      <sheetName val="PEST"/>
      <sheetName val="(Gr) Subsidios vs. cobertura"/>
      <sheetName val="(Gr) Scatter sub vs. cob"/>
      <sheetName val="Subsidios"/>
      <sheetName val="(Gr) Precios"/>
      <sheetName val="(Gr) Cobertura"/>
      <sheetName val="(Gr) Aumento requerido"/>
      <sheetName val="Cuadro IPC-RPM-GBA"/>
      <sheetName val="Comp. indices"/>
      <sheetName val="IPC TODESCA"/>
      <sheetName val="Pass-through bienes"/>
    </sheetNames>
    <sheetDataSet>
      <sheetData sheetId="0" refreshError="1"/>
      <sheetData sheetId="1">
        <row r="5">
          <cell r="S5">
            <v>100</v>
          </cell>
        </row>
        <row r="101">
          <cell r="AF101">
            <v>2.7041040514633741E-2</v>
          </cell>
        </row>
        <row r="102">
          <cell r="AF102">
            <v>2.2110480136651844E-2</v>
          </cell>
        </row>
        <row r="103">
          <cell r="AF103">
            <v>2.4016274307517849E-2</v>
          </cell>
        </row>
        <row r="104">
          <cell r="AF104">
            <v>3.7293353066121693E-2</v>
          </cell>
        </row>
        <row r="105">
          <cell r="AF105">
            <v>2.7808358448509596E-2</v>
          </cell>
        </row>
        <row r="106">
          <cell r="AF106">
            <v>1.5011086343823088E-2</v>
          </cell>
        </row>
        <row r="107">
          <cell r="AF107">
            <v>1.6189248819933333E-2</v>
          </cell>
        </row>
        <row r="108">
          <cell r="AF108">
            <v>1.9016837553312849E-2</v>
          </cell>
        </row>
        <row r="109">
          <cell r="AF109">
            <v>1.8757935113502766E-2</v>
          </cell>
        </row>
        <row r="110">
          <cell r="AF110">
            <v>2.0759603239513646E-2</v>
          </cell>
        </row>
        <row r="111">
          <cell r="AF111">
            <v>2.3419431023919524E-2</v>
          </cell>
        </row>
        <row r="112">
          <cell r="AF112">
            <v>2.4729196710785661E-2</v>
          </cell>
        </row>
        <row r="113">
          <cell r="AF113">
            <v>2.8452719345717137E-2</v>
          </cell>
        </row>
        <row r="114">
          <cell r="AF114">
            <v>2.881619353661713E-2</v>
          </cell>
        </row>
        <row r="115">
          <cell r="AF115">
            <v>2.8963190726726928E-2</v>
          </cell>
        </row>
      </sheetData>
      <sheetData sheetId="2">
        <row r="2">
          <cell r="CY2">
            <v>8714.4871000000003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f-DzT8LHoEy6ZUfB2rHT-4xkHQ_ZZ81Ah3lFGUsHXLddR1TK7hXqSIIkbB75e3Gg" itemId="01R6PHZ7NI5QB266WKFFEILQ3XN34M4ZJ6">
      <xxl21:absoluteUrl r:id="rId2"/>
      <xxl21:relativeUrl r:id="rId3"/>
    </xxl21:alternateUrls>
    <sheetNames>
      <sheetName val="Cuadro resumen"/>
      <sheetName val="Gráficos escenarios"/>
      <sheetName val="Gráficos escenarios (E)"/>
      <sheetName val="Escenario base"/>
      <sheetName val="Escenario 1"/>
      <sheetName val="Escenario 2"/>
      <sheetName val="Escenario 3"/>
      <sheetName val="Escenarios mensual"/>
      <sheetName val="Escenario 1 26-27"/>
      <sheetName val="Escenario 2 26-27"/>
      <sheetName val="Gráfico3"/>
      <sheetName val="Insumo"/>
      <sheetName val="TPM-Riesgo P."/>
      <sheetName val="Escenario 24-25"/>
      <sheetName val="Gráfico1"/>
      <sheetName val="Hoja4"/>
      <sheetName val="Escenario 24-25 mensual"/>
      <sheetName val="Hoja3"/>
      <sheetName val="Hoja2"/>
      <sheetName val="Resumen gráfico"/>
      <sheetName val="Gráfico49"/>
      <sheetName val="Gráfico33"/>
      <sheetName val="Gráfico38"/>
      <sheetName val="Gráfico34"/>
      <sheetName val="Gráfico35"/>
      <sheetName val="Gráfico15"/>
      <sheetName val="Gráfico3 (2)"/>
      <sheetName val="Gráfico17"/>
      <sheetName val="Gráfico19"/>
      <sheetName val="Gráfico51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94">
          <cell r="P294">
            <v>2.908487670547899E-2</v>
          </cell>
        </row>
        <row r="295">
          <cell r="P295">
            <v>2.1811958406777649E-2</v>
          </cell>
        </row>
        <row r="296">
          <cell r="P296">
            <v>1.9782924676127574E-2</v>
          </cell>
        </row>
        <row r="297">
          <cell r="P297">
            <v>1.8336359397498673E-2</v>
          </cell>
        </row>
        <row r="298">
          <cell r="P298">
            <v>2.1667712167539419E-2</v>
          </cell>
        </row>
        <row r="299">
          <cell r="P299">
            <v>1.8851043858919569E-2</v>
          </cell>
        </row>
        <row r="300">
          <cell r="P300">
            <v>2.3239566188367582E-2</v>
          </cell>
        </row>
        <row r="301">
          <cell r="P301">
            <v>2.055245295224788E-2</v>
          </cell>
        </row>
        <row r="302">
          <cell r="P302">
            <v>1.7206571887781685E-2</v>
          </cell>
        </row>
        <row r="303">
          <cell r="P303">
            <v>1.6211339787053677E-2</v>
          </cell>
        </row>
        <row r="304">
          <cell r="P304">
            <v>1.7247937850937544E-2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C600DCE6-6899-4CC9-86AA-D98FDDF889B6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Country" tableColumnId="2"/>
      <queryTableField id="3" name="CER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0ADDC42D-EDE6-4618-B54A-1106ED1204C8}" autoFormatId="16" applyNumberFormats="0" applyBorderFormats="0" applyFontFormats="0" applyPatternFormats="0" applyAlignmentFormats="0" applyWidthHeightFormats="0">
  <queryTableRefresh nextId="32">
    <queryTableFields count="31">
      <queryTableField id="1" name="Date" tableColumnId="1"/>
      <queryTableField id="2" name="price - TZX26" tableColumnId="2"/>
      <queryTableField id="3" name="price - TZXD5" tableColumnId="3"/>
      <queryTableField id="4" name="price - TZXD6" tableColumnId="4"/>
      <queryTableField id="5" name="price - TZXM6" tableColumnId="5"/>
      <queryTableField id="6" name="price - TZXM7" tableColumnId="6"/>
      <queryTableField id="7" name="price - T15D5" tableColumnId="7"/>
      <queryTableField id="8" name="price - TZXO6" tableColumnId="8"/>
      <queryTableField id="9" name="price - T30J6" tableColumnId="9"/>
      <queryTableField id="10" name="price - TTD26" tableColumnId="10"/>
      <queryTableField id="11" name="price - TTM26" tableColumnId="11"/>
      <queryTableField id="12" name="price - S29Y6" tableColumnId="12"/>
      <queryTableField id="13" name="price - T30A7" tableColumnId="13"/>
      <queryTableField id="14" name="price - S30O6" tableColumnId="14"/>
      <queryTableField id="15" name="price - X29Y6" tableColumnId="15"/>
      <queryTableField id="16" name="price - S17A6" tableColumnId="16"/>
      <queryTableField id="17" name="irr - TZX26" tableColumnId="17"/>
      <queryTableField id="18" name="irr - TZXD5" tableColumnId="18"/>
      <queryTableField id="19" name="irr - TZXD6" tableColumnId="19"/>
      <queryTableField id="20" name="irr - TZXM6" tableColumnId="20"/>
      <queryTableField id="21" name="irr - TZXM7" tableColumnId="21"/>
      <queryTableField id="22" name="irr - T15D5" tableColumnId="22"/>
      <queryTableField id="23" name="irr - TZXO6" tableColumnId="23"/>
      <queryTableField id="24" name="irr - T30J6" tableColumnId="24"/>
      <queryTableField id="25" name="irr - TTD26" tableColumnId="25"/>
      <queryTableField id="26" name="irr - TTM26" tableColumnId="26"/>
      <queryTableField id="27" name="irr - S29Y6" tableColumnId="27"/>
      <queryTableField id="28" name="irr - T30A7" tableColumnId="28"/>
      <queryTableField id="29" name="irr - S30O6" tableColumnId="29"/>
      <queryTableField id="30" name="irr - X29Y6" tableColumnId="30"/>
      <queryTableField id="31" name="irr - S17A6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1024C3-B456-4608-8780-83837F1CB50A}" name="Sheet1__2" displayName="Sheet1__2" ref="A1:C837" tableType="queryTable" totalsRowShown="0">
  <autoFilter ref="A1:C837" xr:uid="{321024C3-B456-4608-8780-83837F1CB50A}"/>
  <tableColumns count="3">
    <tableColumn id="1" xr3:uid="{64AB3DC9-C0F2-44F5-8A23-79BE309A4D2E}" uniqueName="1" name="Date" queryTableFieldId="1" dataDxfId="2"/>
    <tableColumn id="2" xr3:uid="{DE0E29A5-EEAE-4CDD-AD4E-83C9CD54DF5F}" uniqueName="2" name="Country" queryTableFieldId="2" dataDxfId="1"/>
    <tableColumn id="3" xr3:uid="{DA7B44EA-F6C3-446C-BECD-E5CECDAFCE59}" uniqueName="3" name="CER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82AC03-E69E-4015-8A67-12237ACB75D7}" name="Sheet1__7" displayName="Sheet1__7" ref="A1:AE524" tableType="queryTable" totalsRowShown="0">
  <autoFilter ref="A1:AE524" xr:uid="{D782AC03-E69E-4015-8A67-12237ACB75D7}"/>
  <tableColumns count="31">
    <tableColumn id="1" xr3:uid="{C875EDD7-68B5-4DC2-A2F8-5CB563112E71}" uniqueName="1" name="Date" queryTableFieldId="1" dataDxfId="0"/>
    <tableColumn id="2" xr3:uid="{54BB5C99-F0B3-4779-9530-6AF00B96E5EC}" uniqueName="2" name="price - TZX26" queryTableFieldId="2"/>
    <tableColumn id="3" xr3:uid="{829A1D11-A79E-4E9B-8A01-5A4181F5BF17}" uniqueName="3" name="price - TZXD5" queryTableFieldId="3"/>
    <tableColumn id="4" xr3:uid="{2D318C12-1196-4109-A60E-3DAD417DB09C}" uniqueName="4" name="price - TZXD6" queryTableFieldId="4"/>
    <tableColumn id="5" xr3:uid="{B6D90151-3AA0-4D58-96BB-AEE67487C16D}" uniqueName="5" name="price - TZXM6" queryTableFieldId="5"/>
    <tableColumn id="6" xr3:uid="{FF9F2F8D-C270-4A78-BD08-4D864AE64533}" uniqueName="6" name="price - TZXM7" queryTableFieldId="6"/>
    <tableColumn id="7" xr3:uid="{0D64721E-4F12-4F5D-84B6-79E57D25D145}" uniqueName="7" name="price - T15D5" queryTableFieldId="7"/>
    <tableColumn id="8" xr3:uid="{5C0027CB-4D0B-4469-A9CD-8B374359AFF9}" uniqueName="8" name="price - TZXO6" queryTableFieldId="8"/>
    <tableColumn id="9" xr3:uid="{7F1BB7BD-290E-431C-8550-E6FF02B478E4}" uniqueName="9" name="price - T30J6" queryTableFieldId="9"/>
    <tableColumn id="10" xr3:uid="{FFFC5D5D-54BB-4D29-B038-D9BF470FB0D5}" uniqueName="10" name="price - TTD26" queryTableFieldId="10"/>
    <tableColumn id="11" xr3:uid="{AC884B50-E4B0-41B8-A2D1-DE9E9634E02C}" uniqueName="11" name="price - TTM26" queryTableFieldId="11"/>
    <tableColumn id="12" xr3:uid="{2F1D15D7-412C-418D-A48E-9D9B5F2D9A69}" uniqueName="12" name="price - S29Y6" queryTableFieldId="12"/>
    <tableColumn id="13" xr3:uid="{2330C9A5-4F33-43E8-B5C2-5DE20B78FA4D}" uniqueName="13" name="price - T30A7" queryTableFieldId="13"/>
    <tableColumn id="14" xr3:uid="{64B06FB4-A6D2-46A0-B1AD-E6D40A7220C0}" uniqueName="14" name="price - S30O6" queryTableFieldId="14"/>
    <tableColumn id="15" xr3:uid="{415CC9E7-94B1-4531-B41F-5AEC007375D1}" uniqueName="15" name="price - X29Y6" queryTableFieldId="15"/>
    <tableColumn id="16" xr3:uid="{6190D87F-4622-4A6B-B9CC-072E67DFF127}" uniqueName="16" name="price - S17A6" queryTableFieldId="16"/>
    <tableColumn id="17" xr3:uid="{35E8AD8B-BA95-416D-BDB6-8AA047D4BA3A}" uniqueName="17" name="irr - TZX26" queryTableFieldId="17"/>
    <tableColumn id="18" xr3:uid="{BE7D0727-1AAB-4582-B034-F7361536F668}" uniqueName="18" name="irr - TZXD5" queryTableFieldId="18"/>
    <tableColumn id="19" xr3:uid="{B154F788-60B8-44ED-80A5-4065FC3507FC}" uniqueName="19" name="irr - TZXD6" queryTableFieldId="19"/>
    <tableColumn id="20" xr3:uid="{3C2F1FF4-E9B2-4AEE-A4B9-C3D69F500B55}" uniqueName="20" name="irr - TZXM6" queryTableFieldId="20"/>
    <tableColumn id="21" xr3:uid="{CC7C095C-E440-4041-8330-B5EAEFF0E1A5}" uniqueName="21" name="irr - TZXM7" queryTableFieldId="21"/>
    <tableColumn id="22" xr3:uid="{22D8CB36-2BDA-4296-9D7E-8CE64F2570C9}" uniqueName="22" name="irr - T15D5" queryTableFieldId="22"/>
    <tableColumn id="23" xr3:uid="{8EDE94A7-F861-47F1-ABFC-A5560961C98F}" uniqueName="23" name="irr - TZXO6" queryTableFieldId="23"/>
    <tableColumn id="24" xr3:uid="{962FEF6C-34AF-4EE5-BB3D-C8FE13DC9E4D}" uniqueName="24" name="irr - T30J6" queryTableFieldId="24"/>
    <tableColumn id="25" xr3:uid="{FD7EBE54-ED01-438E-87C9-19AF4B3C2F0C}" uniqueName="25" name="irr - TTD26" queryTableFieldId="25"/>
    <tableColumn id="26" xr3:uid="{8DFA178A-DC39-4E00-98A1-FE0ADA2354D0}" uniqueName="26" name="irr - TTM26" queryTableFieldId="26"/>
    <tableColumn id="27" xr3:uid="{3B3EA40F-CB02-4C03-AE39-4C79DF50912A}" uniqueName="27" name="irr - S29Y6" queryTableFieldId="27"/>
    <tableColumn id="28" xr3:uid="{B588D8F5-805D-4536-9F44-9F269BE70802}" uniqueName="28" name="irr - T30A7" queryTableFieldId="28"/>
    <tableColumn id="29" xr3:uid="{71982147-2725-40FD-9C15-134F58C1A62C}" uniqueName="29" name="irr - S30O6" queryTableFieldId="29"/>
    <tableColumn id="30" xr3:uid="{AF56464A-EAFB-43CD-846F-B6F9326FBAD4}" uniqueName="30" name="irr - X29Y6" queryTableFieldId="30"/>
    <tableColumn id="31" xr3:uid="{D282C45C-FAFB-4F39-A2A5-BEF08D287687}" uniqueName="31" name="irr - S17A6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Ecogo">
  <a:themeElements>
    <a:clrScheme name="Custom 2">
      <a:dk1>
        <a:srgbClr val="333333"/>
      </a:dk1>
      <a:lt1>
        <a:sysClr val="window" lastClr="FFFFFF"/>
      </a:lt1>
      <a:dk2>
        <a:srgbClr val="333333"/>
      </a:dk2>
      <a:lt2>
        <a:srgbClr val="FFFFFF"/>
      </a:lt2>
      <a:accent1>
        <a:srgbClr val="8FCCCA"/>
      </a:accent1>
      <a:accent2>
        <a:srgbClr val="2890A4"/>
      </a:accent2>
      <a:accent3>
        <a:srgbClr val="1B5F5E"/>
      </a:accent3>
      <a:accent4>
        <a:srgbClr val="84BF84"/>
      </a:accent4>
      <a:accent5>
        <a:srgbClr val="70A134"/>
      </a:accent5>
      <a:accent6>
        <a:srgbClr val="DA4531"/>
      </a:accent6>
      <a:hlink>
        <a:srgbClr val="8FCCCA"/>
      </a:hlink>
      <a:folHlink>
        <a:srgbClr val="8FCCCA"/>
      </a:folHlink>
    </a:clrScheme>
    <a:fontScheme name="Custom 4">
      <a:majorFont>
        <a:latin typeface="HK Grotesk SemiBold"/>
        <a:ea typeface=""/>
        <a:cs typeface=""/>
      </a:majorFont>
      <a:minorFont>
        <a:latin typeface="HK Grotes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Ecogo" id="{CEC718CE-D292-40DC-98A6-E3B8BDDDD10A}" vid="{CA282EB6-C47A-466E-A56A-BA12EDBC046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5E67-3DDA-435C-B132-E8FF874A3794}">
  <dimension ref="A1:C837"/>
  <sheetViews>
    <sheetView workbookViewId="0">
      <pane xSplit="1" ySplit="1" topLeftCell="B829" activePane="bottomRight" state="frozen"/>
      <selection pane="topRight" activeCell="B1" sqref="B1"/>
      <selection pane="bottomLeft" activeCell="A2" sqref="A2"/>
      <selection pane="bottomRight" activeCell="E798" sqref="E798"/>
    </sheetView>
  </sheetViews>
  <sheetFormatPr baseColWidth="10" defaultRowHeight="15" x14ac:dyDescent="0.4"/>
  <cols>
    <col min="1" max="1" width="10.5" style="1" bestFit="1" customWidth="1"/>
    <col min="2" max="2" width="9.83203125" bestFit="1" customWidth="1"/>
    <col min="3" max="3" width="11.9140625" bestFit="1" customWidth="1"/>
  </cols>
  <sheetData>
    <row r="1" spans="1:3" x14ac:dyDescent="0.4">
      <c r="A1" t="s">
        <v>0</v>
      </c>
      <c r="B1" t="s">
        <v>5</v>
      </c>
      <c r="C1" t="s">
        <v>6</v>
      </c>
    </row>
    <row r="2" spans="1:3" x14ac:dyDescent="0.4">
      <c r="A2" s="1">
        <v>45292</v>
      </c>
      <c r="B2" t="s">
        <v>7</v>
      </c>
      <c r="C2">
        <v>185.65309999999999</v>
      </c>
    </row>
    <row r="3" spans="1:3" x14ac:dyDescent="0.4">
      <c r="A3" s="1">
        <v>45293</v>
      </c>
      <c r="B3" t="s">
        <v>7</v>
      </c>
      <c r="C3">
        <v>186.3758</v>
      </c>
    </row>
    <row r="4" spans="1:3" x14ac:dyDescent="0.4">
      <c r="A4" s="1">
        <v>45294</v>
      </c>
      <c r="B4" t="s">
        <v>7</v>
      </c>
      <c r="C4">
        <v>187.10130000000001</v>
      </c>
    </row>
    <row r="5" spans="1:3" x14ac:dyDescent="0.4">
      <c r="A5" s="1">
        <v>45295</v>
      </c>
      <c r="B5" t="s">
        <v>7</v>
      </c>
      <c r="C5">
        <v>187.8297</v>
      </c>
    </row>
    <row r="6" spans="1:3" x14ac:dyDescent="0.4">
      <c r="A6" s="1">
        <v>45296</v>
      </c>
      <c r="B6" t="s">
        <v>7</v>
      </c>
      <c r="C6">
        <v>188.5609</v>
      </c>
    </row>
    <row r="7" spans="1:3" x14ac:dyDescent="0.4">
      <c r="A7" s="1">
        <v>45297</v>
      </c>
      <c r="B7" t="s">
        <v>7</v>
      </c>
      <c r="C7">
        <v>189.29499999999999</v>
      </c>
    </row>
    <row r="8" spans="1:3" x14ac:dyDescent="0.4">
      <c r="A8" s="1">
        <v>45298</v>
      </c>
      <c r="B8" t="s">
        <v>7</v>
      </c>
      <c r="C8">
        <v>190.03190000000001</v>
      </c>
    </row>
    <row r="9" spans="1:3" x14ac:dyDescent="0.4">
      <c r="A9" s="1">
        <v>45299</v>
      </c>
      <c r="B9" t="s">
        <v>7</v>
      </c>
      <c r="C9">
        <v>190.77170000000001</v>
      </c>
    </row>
    <row r="10" spans="1:3" x14ac:dyDescent="0.4">
      <c r="A10" s="1">
        <v>45300</v>
      </c>
      <c r="B10" t="s">
        <v>7</v>
      </c>
      <c r="C10">
        <v>191.51429999999999</v>
      </c>
    </row>
    <row r="11" spans="1:3" x14ac:dyDescent="0.4">
      <c r="A11" s="1">
        <v>45301</v>
      </c>
      <c r="B11" t="s">
        <v>7</v>
      </c>
      <c r="C11">
        <v>192.25989999999999</v>
      </c>
    </row>
    <row r="12" spans="1:3" x14ac:dyDescent="0.4">
      <c r="A12" s="1">
        <v>45302</v>
      </c>
      <c r="B12" t="s">
        <v>7</v>
      </c>
      <c r="C12">
        <v>193.00829999999999</v>
      </c>
    </row>
    <row r="13" spans="1:3" x14ac:dyDescent="0.4">
      <c r="A13" s="1">
        <v>45303</v>
      </c>
      <c r="B13" t="s">
        <v>7</v>
      </c>
      <c r="C13">
        <v>193.75970000000001</v>
      </c>
    </row>
    <row r="14" spans="1:3" x14ac:dyDescent="0.4">
      <c r="A14" s="1">
        <v>45304</v>
      </c>
      <c r="B14" t="s">
        <v>7</v>
      </c>
      <c r="C14">
        <v>194.51400000000001</v>
      </c>
    </row>
    <row r="15" spans="1:3" x14ac:dyDescent="0.4">
      <c r="A15" s="1">
        <v>45305</v>
      </c>
      <c r="B15" t="s">
        <v>7</v>
      </c>
      <c r="C15">
        <v>195.27119999999999</v>
      </c>
    </row>
    <row r="16" spans="1:3" x14ac:dyDescent="0.4">
      <c r="A16" s="1">
        <v>45306</v>
      </c>
      <c r="B16" t="s">
        <v>7</v>
      </c>
      <c r="C16">
        <v>196.03139999999999</v>
      </c>
    </row>
    <row r="17" spans="1:3" x14ac:dyDescent="0.4">
      <c r="A17" s="1">
        <v>45307</v>
      </c>
      <c r="B17" t="s">
        <v>7</v>
      </c>
      <c r="C17">
        <v>197.47300000000001</v>
      </c>
    </row>
    <row r="18" spans="1:3" x14ac:dyDescent="0.4">
      <c r="A18" s="1">
        <v>45308</v>
      </c>
      <c r="B18" t="s">
        <v>7</v>
      </c>
      <c r="C18">
        <v>198.92509999999999</v>
      </c>
    </row>
    <row r="19" spans="1:3" x14ac:dyDescent="0.4">
      <c r="A19" s="1">
        <v>45309</v>
      </c>
      <c r="B19" t="s">
        <v>7</v>
      </c>
      <c r="C19">
        <v>200.38800000000001</v>
      </c>
    </row>
    <row r="20" spans="1:3" x14ac:dyDescent="0.4">
      <c r="A20" s="1">
        <v>45310</v>
      </c>
      <c r="B20" t="s">
        <v>7</v>
      </c>
      <c r="C20">
        <v>201.86160000000001</v>
      </c>
    </row>
    <row r="21" spans="1:3" x14ac:dyDescent="0.4">
      <c r="A21" s="1">
        <v>45311</v>
      </c>
      <c r="B21" t="s">
        <v>7</v>
      </c>
      <c r="C21">
        <v>203.34610000000001</v>
      </c>
    </row>
    <row r="22" spans="1:3" x14ac:dyDescent="0.4">
      <c r="A22" s="1">
        <v>45312</v>
      </c>
      <c r="B22" t="s">
        <v>7</v>
      </c>
      <c r="C22">
        <v>204.8415</v>
      </c>
    </row>
    <row r="23" spans="1:3" x14ac:dyDescent="0.4">
      <c r="A23" s="1">
        <v>45313</v>
      </c>
      <c r="B23" t="s">
        <v>7</v>
      </c>
      <c r="C23">
        <v>206.34790000000001</v>
      </c>
    </row>
    <row r="24" spans="1:3" x14ac:dyDescent="0.4">
      <c r="A24" s="1">
        <v>45314</v>
      </c>
      <c r="B24" t="s">
        <v>7</v>
      </c>
      <c r="C24">
        <v>207.86529999999999</v>
      </c>
    </row>
    <row r="25" spans="1:3" x14ac:dyDescent="0.4">
      <c r="A25" s="1">
        <v>45315</v>
      </c>
      <c r="B25" t="s">
        <v>7</v>
      </c>
      <c r="C25">
        <v>209.3939</v>
      </c>
    </row>
    <row r="26" spans="1:3" x14ac:dyDescent="0.4">
      <c r="A26" s="1">
        <v>45316</v>
      </c>
      <c r="B26" t="s">
        <v>7</v>
      </c>
      <c r="C26">
        <v>210.93379999999999</v>
      </c>
    </row>
    <row r="27" spans="1:3" x14ac:dyDescent="0.4">
      <c r="A27" s="1">
        <v>45317</v>
      </c>
      <c r="B27" t="s">
        <v>7</v>
      </c>
      <c r="C27">
        <v>212.48500000000001</v>
      </c>
    </row>
    <row r="28" spans="1:3" x14ac:dyDescent="0.4">
      <c r="A28" s="1">
        <v>45318</v>
      </c>
      <c r="B28" t="s">
        <v>7</v>
      </c>
      <c r="C28">
        <v>214.04750000000001</v>
      </c>
    </row>
    <row r="29" spans="1:3" x14ac:dyDescent="0.4">
      <c r="A29" s="1">
        <v>45319</v>
      </c>
      <c r="B29" t="s">
        <v>7</v>
      </c>
      <c r="C29">
        <v>215.6216</v>
      </c>
    </row>
    <row r="30" spans="1:3" x14ac:dyDescent="0.4">
      <c r="A30" s="1">
        <v>45320</v>
      </c>
      <c r="B30" t="s">
        <v>7</v>
      </c>
      <c r="C30">
        <v>217.2073</v>
      </c>
    </row>
    <row r="31" spans="1:3" x14ac:dyDescent="0.4">
      <c r="A31" s="1">
        <v>45321</v>
      </c>
      <c r="B31" t="s">
        <v>7</v>
      </c>
      <c r="C31">
        <v>218.80459999999999</v>
      </c>
    </row>
    <row r="32" spans="1:3" x14ac:dyDescent="0.4">
      <c r="A32" s="1">
        <v>45322</v>
      </c>
      <c r="B32" t="s">
        <v>7</v>
      </c>
      <c r="C32">
        <v>220.4136</v>
      </c>
    </row>
    <row r="33" spans="1:3" x14ac:dyDescent="0.4">
      <c r="A33" s="1">
        <v>45323</v>
      </c>
      <c r="B33" t="s">
        <v>7</v>
      </c>
      <c r="C33">
        <v>222.03450000000001</v>
      </c>
    </row>
    <row r="34" spans="1:3" x14ac:dyDescent="0.4">
      <c r="A34" s="1">
        <v>45324</v>
      </c>
      <c r="B34" t="s">
        <v>7</v>
      </c>
      <c r="C34">
        <v>223.66730000000001</v>
      </c>
    </row>
    <row r="35" spans="1:3" x14ac:dyDescent="0.4">
      <c r="A35" s="1">
        <v>45325</v>
      </c>
      <c r="B35" t="s">
        <v>7</v>
      </c>
      <c r="C35">
        <v>225.31219999999999</v>
      </c>
    </row>
    <row r="36" spans="1:3" x14ac:dyDescent="0.4">
      <c r="A36" s="1">
        <v>45326</v>
      </c>
      <c r="B36" t="s">
        <v>7</v>
      </c>
      <c r="C36">
        <v>226.9691</v>
      </c>
    </row>
    <row r="37" spans="1:3" x14ac:dyDescent="0.4">
      <c r="A37" s="1">
        <v>45327</v>
      </c>
      <c r="B37" t="s">
        <v>7</v>
      </c>
      <c r="C37">
        <v>228.63820000000001</v>
      </c>
    </row>
    <row r="38" spans="1:3" x14ac:dyDescent="0.4">
      <c r="A38" s="1">
        <v>45328</v>
      </c>
      <c r="B38" t="s">
        <v>7</v>
      </c>
      <c r="C38">
        <v>230.31950000000001</v>
      </c>
    </row>
    <row r="39" spans="1:3" x14ac:dyDescent="0.4">
      <c r="A39" s="1">
        <v>45329</v>
      </c>
      <c r="B39" t="s">
        <v>7</v>
      </c>
      <c r="C39">
        <v>232.01329999999999</v>
      </c>
    </row>
    <row r="40" spans="1:3" x14ac:dyDescent="0.4">
      <c r="A40" s="1">
        <v>45330</v>
      </c>
      <c r="B40" t="s">
        <v>7</v>
      </c>
      <c r="C40">
        <v>233.71950000000001</v>
      </c>
    </row>
    <row r="41" spans="1:3" x14ac:dyDescent="0.4">
      <c r="A41" s="1">
        <v>45331</v>
      </c>
      <c r="B41" t="s">
        <v>7</v>
      </c>
      <c r="C41">
        <v>235.43819999999999</v>
      </c>
    </row>
    <row r="42" spans="1:3" x14ac:dyDescent="0.4">
      <c r="A42" s="1">
        <v>45332</v>
      </c>
      <c r="B42" t="s">
        <v>7</v>
      </c>
      <c r="C42">
        <v>237.1696</v>
      </c>
    </row>
    <row r="43" spans="1:3" x14ac:dyDescent="0.4">
      <c r="A43" s="1">
        <v>45333</v>
      </c>
      <c r="B43" t="s">
        <v>7</v>
      </c>
      <c r="C43">
        <v>238.91370000000001</v>
      </c>
    </row>
    <row r="44" spans="1:3" x14ac:dyDescent="0.4">
      <c r="A44" s="1">
        <v>45334</v>
      </c>
      <c r="B44" t="s">
        <v>7</v>
      </c>
      <c r="C44">
        <v>240.67070000000001</v>
      </c>
    </row>
    <row r="45" spans="1:3" x14ac:dyDescent="0.4">
      <c r="A45" s="1">
        <v>45335</v>
      </c>
      <c r="B45" t="s">
        <v>7</v>
      </c>
      <c r="C45">
        <v>242.44049999999999</v>
      </c>
    </row>
    <row r="46" spans="1:3" x14ac:dyDescent="0.4">
      <c r="A46" s="1">
        <v>45336</v>
      </c>
      <c r="B46" t="s">
        <v>7</v>
      </c>
      <c r="C46">
        <v>244.2234</v>
      </c>
    </row>
    <row r="47" spans="1:3" x14ac:dyDescent="0.4">
      <c r="A47" s="1">
        <v>45337</v>
      </c>
      <c r="B47" t="s">
        <v>7</v>
      </c>
      <c r="C47">
        <v>246.01939999999999</v>
      </c>
    </row>
    <row r="48" spans="1:3" x14ac:dyDescent="0.4">
      <c r="A48" s="1">
        <v>45338</v>
      </c>
      <c r="B48" t="s">
        <v>7</v>
      </c>
      <c r="C48">
        <v>247.61349999999999</v>
      </c>
    </row>
    <row r="49" spans="1:3" x14ac:dyDescent="0.4">
      <c r="A49" s="1">
        <v>45339</v>
      </c>
      <c r="B49" t="s">
        <v>7</v>
      </c>
      <c r="C49">
        <v>249.21799999999999</v>
      </c>
    </row>
    <row r="50" spans="1:3" x14ac:dyDescent="0.4">
      <c r="A50" s="1">
        <v>45340</v>
      </c>
      <c r="B50" t="s">
        <v>7</v>
      </c>
      <c r="C50">
        <v>250.8329</v>
      </c>
    </row>
    <row r="51" spans="1:3" x14ac:dyDescent="0.4">
      <c r="A51" s="1">
        <v>45341</v>
      </c>
      <c r="B51" t="s">
        <v>7</v>
      </c>
      <c r="C51">
        <v>252.45830000000001</v>
      </c>
    </row>
    <row r="52" spans="1:3" x14ac:dyDescent="0.4">
      <c r="A52" s="1">
        <v>45342</v>
      </c>
      <c r="B52" t="s">
        <v>7</v>
      </c>
      <c r="C52">
        <v>254.0942</v>
      </c>
    </row>
    <row r="53" spans="1:3" x14ac:dyDescent="0.4">
      <c r="A53" s="1">
        <v>45343</v>
      </c>
      <c r="B53" t="s">
        <v>7</v>
      </c>
      <c r="C53">
        <v>255.7407</v>
      </c>
    </row>
    <row r="54" spans="1:3" x14ac:dyDescent="0.4">
      <c r="A54" s="1">
        <v>45344</v>
      </c>
      <c r="B54" t="s">
        <v>7</v>
      </c>
      <c r="C54">
        <v>257.39780000000002</v>
      </c>
    </row>
    <row r="55" spans="1:3" x14ac:dyDescent="0.4">
      <c r="A55" s="1">
        <v>45345</v>
      </c>
      <c r="B55" t="s">
        <v>7</v>
      </c>
      <c r="C55">
        <v>259.06569999999999</v>
      </c>
    </row>
    <row r="56" spans="1:3" x14ac:dyDescent="0.4">
      <c r="A56" s="1">
        <v>45346</v>
      </c>
      <c r="B56" t="s">
        <v>7</v>
      </c>
      <c r="C56">
        <v>260.74439999999998</v>
      </c>
    </row>
    <row r="57" spans="1:3" x14ac:dyDescent="0.4">
      <c r="A57" s="1">
        <v>45347</v>
      </c>
      <c r="B57" t="s">
        <v>7</v>
      </c>
      <c r="C57">
        <v>262.43400000000003</v>
      </c>
    </row>
    <row r="58" spans="1:3" x14ac:dyDescent="0.4">
      <c r="A58" s="1">
        <v>45348</v>
      </c>
      <c r="B58" t="s">
        <v>7</v>
      </c>
      <c r="C58">
        <v>264.1345</v>
      </c>
    </row>
    <row r="59" spans="1:3" x14ac:dyDescent="0.4">
      <c r="A59" s="1">
        <v>45349</v>
      </c>
      <c r="B59" t="s">
        <v>7</v>
      </c>
      <c r="C59">
        <v>265.84609999999998</v>
      </c>
    </row>
    <row r="60" spans="1:3" x14ac:dyDescent="0.4">
      <c r="A60" s="1">
        <v>45350</v>
      </c>
      <c r="B60" t="s">
        <v>7</v>
      </c>
      <c r="C60">
        <v>267.56869999999998</v>
      </c>
    </row>
    <row r="61" spans="1:3" x14ac:dyDescent="0.4">
      <c r="A61" s="1">
        <v>45351</v>
      </c>
      <c r="B61" t="s">
        <v>7</v>
      </c>
      <c r="C61">
        <v>269.30250000000001</v>
      </c>
    </row>
    <row r="62" spans="1:3" x14ac:dyDescent="0.4">
      <c r="A62" s="1">
        <v>45352</v>
      </c>
      <c r="B62" t="s">
        <v>7</v>
      </c>
      <c r="C62">
        <v>271.04759999999999</v>
      </c>
    </row>
    <row r="63" spans="1:3" x14ac:dyDescent="0.4">
      <c r="A63" s="1">
        <v>45353</v>
      </c>
      <c r="B63" t="s">
        <v>7</v>
      </c>
      <c r="C63">
        <v>272.8039</v>
      </c>
    </row>
    <row r="64" spans="1:3" x14ac:dyDescent="0.4">
      <c r="A64" s="1">
        <v>45354</v>
      </c>
      <c r="B64" t="s">
        <v>7</v>
      </c>
      <c r="C64">
        <v>274.57159999999999</v>
      </c>
    </row>
    <row r="65" spans="1:3" x14ac:dyDescent="0.4">
      <c r="A65" s="1">
        <v>45355</v>
      </c>
      <c r="B65" t="s">
        <v>7</v>
      </c>
      <c r="C65">
        <v>276.35079999999999</v>
      </c>
    </row>
    <row r="66" spans="1:3" x14ac:dyDescent="0.4">
      <c r="A66" s="1">
        <v>45356</v>
      </c>
      <c r="B66" t="s">
        <v>7</v>
      </c>
      <c r="C66">
        <v>278.14150000000001</v>
      </c>
    </row>
    <row r="67" spans="1:3" x14ac:dyDescent="0.4">
      <c r="A67" s="1">
        <v>45357</v>
      </c>
      <c r="B67" t="s">
        <v>7</v>
      </c>
      <c r="C67">
        <v>279.94380000000001</v>
      </c>
    </row>
    <row r="68" spans="1:3" x14ac:dyDescent="0.4">
      <c r="A68" s="1">
        <v>45358</v>
      </c>
      <c r="B68" t="s">
        <v>7</v>
      </c>
      <c r="C68">
        <v>281.75779999999997</v>
      </c>
    </row>
    <row r="69" spans="1:3" x14ac:dyDescent="0.4">
      <c r="A69" s="1">
        <v>45359</v>
      </c>
      <c r="B69" t="s">
        <v>7</v>
      </c>
      <c r="C69">
        <v>283.58359999999999</v>
      </c>
    </row>
    <row r="70" spans="1:3" x14ac:dyDescent="0.4">
      <c r="A70" s="1">
        <v>45360</v>
      </c>
      <c r="B70" t="s">
        <v>7</v>
      </c>
      <c r="C70">
        <v>285.42110000000002</v>
      </c>
    </row>
    <row r="71" spans="1:3" x14ac:dyDescent="0.4">
      <c r="A71" s="1">
        <v>45361</v>
      </c>
      <c r="B71" t="s">
        <v>7</v>
      </c>
      <c r="C71">
        <v>287.2706</v>
      </c>
    </row>
    <row r="72" spans="1:3" x14ac:dyDescent="0.4">
      <c r="A72" s="1">
        <v>45362</v>
      </c>
      <c r="B72" t="s">
        <v>7</v>
      </c>
      <c r="C72">
        <v>289.13209999999998</v>
      </c>
    </row>
    <row r="73" spans="1:3" x14ac:dyDescent="0.4">
      <c r="A73" s="1">
        <v>45363</v>
      </c>
      <c r="B73" t="s">
        <v>7</v>
      </c>
      <c r="C73">
        <v>291.00560000000002</v>
      </c>
    </row>
    <row r="74" spans="1:3" x14ac:dyDescent="0.4">
      <c r="A74" s="1">
        <v>45364</v>
      </c>
      <c r="B74" t="s">
        <v>7</v>
      </c>
      <c r="C74">
        <v>292.8913</v>
      </c>
    </row>
    <row r="75" spans="1:3" x14ac:dyDescent="0.4">
      <c r="A75" s="1">
        <v>45365</v>
      </c>
      <c r="B75" t="s">
        <v>7</v>
      </c>
      <c r="C75">
        <v>294.78919999999999</v>
      </c>
    </row>
    <row r="76" spans="1:3" x14ac:dyDescent="0.4">
      <c r="A76" s="1">
        <v>45366</v>
      </c>
      <c r="B76" t="s">
        <v>7</v>
      </c>
      <c r="C76">
        <v>296.69940000000003</v>
      </c>
    </row>
    <row r="77" spans="1:3" x14ac:dyDescent="0.4">
      <c r="A77" s="1">
        <v>45367</v>
      </c>
      <c r="B77" t="s">
        <v>7</v>
      </c>
      <c r="C77">
        <v>297.88839999999999</v>
      </c>
    </row>
    <row r="78" spans="1:3" x14ac:dyDescent="0.4">
      <c r="A78" s="1">
        <v>45368</v>
      </c>
      <c r="B78" t="s">
        <v>7</v>
      </c>
      <c r="C78">
        <v>299.0822</v>
      </c>
    </row>
    <row r="79" spans="1:3" x14ac:dyDescent="0.4">
      <c r="A79" s="1">
        <v>45369</v>
      </c>
      <c r="B79" t="s">
        <v>7</v>
      </c>
      <c r="C79">
        <v>300.2808</v>
      </c>
    </row>
    <row r="80" spans="1:3" x14ac:dyDescent="0.4">
      <c r="A80" s="1">
        <v>45370</v>
      </c>
      <c r="B80" t="s">
        <v>7</v>
      </c>
      <c r="C80">
        <v>301.48419999999999</v>
      </c>
    </row>
    <row r="81" spans="1:3" x14ac:dyDescent="0.4">
      <c r="A81" s="1">
        <v>45371</v>
      </c>
      <c r="B81" t="s">
        <v>7</v>
      </c>
      <c r="C81">
        <v>302.69240000000002</v>
      </c>
    </row>
    <row r="82" spans="1:3" x14ac:dyDescent="0.4">
      <c r="A82" s="1">
        <v>45372</v>
      </c>
      <c r="B82" t="s">
        <v>7</v>
      </c>
      <c r="C82">
        <v>303.90550000000002</v>
      </c>
    </row>
    <row r="83" spans="1:3" x14ac:dyDescent="0.4">
      <c r="A83" s="1">
        <v>45373</v>
      </c>
      <c r="B83" t="s">
        <v>7</v>
      </c>
      <c r="C83">
        <v>305.1234</v>
      </c>
    </row>
    <row r="84" spans="1:3" x14ac:dyDescent="0.4">
      <c r="A84" s="1">
        <v>45374</v>
      </c>
      <c r="B84" t="s">
        <v>7</v>
      </c>
      <c r="C84">
        <v>306.34620000000001</v>
      </c>
    </row>
    <row r="85" spans="1:3" x14ac:dyDescent="0.4">
      <c r="A85" s="1">
        <v>45375</v>
      </c>
      <c r="B85" t="s">
        <v>7</v>
      </c>
      <c r="C85">
        <v>307.57389999999998</v>
      </c>
    </row>
    <row r="86" spans="1:3" x14ac:dyDescent="0.4">
      <c r="A86" s="1">
        <v>45376</v>
      </c>
      <c r="B86" t="s">
        <v>7</v>
      </c>
      <c r="C86">
        <v>308.80650000000003</v>
      </c>
    </row>
    <row r="87" spans="1:3" x14ac:dyDescent="0.4">
      <c r="A87" s="1">
        <v>45377</v>
      </c>
      <c r="B87" t="s">
        <v>7</v>
      </c>
      <c r="C87">
        <v>310.04410000000001</v>
      </c>
    </row>
    <row r="88" spans="1:3" x14ac:dyDescent="0.4">
      <c r="A88" s="1">
        <v>45378</v>
      </c>
      <c r="B88" t="s">
        <v>7</v>
      </c>
      <c r="C88">
        <v>311.28660000000002</v>
      </c>
    </row>
    <row r="89" spans="1:3" x14ac:dyDescent="0.4">
      <c r="A89" s="1">
        <v>45379</v>
      </c>
      <c r="B89" t="s">
        <v>7</v>
      </c>
      <c r="C89">
        <v>312.53410000000002</v>
      </c>
    </row>
    <row r="90" spans="1:3" x14ac:dyDescent="0.4">
      <c r="A90" s="1">
        <v>45380</v>
      </c>
      <c r="B90" t="s">
        <v>7</v>
      </c>
      <c r="C90">
        <v>313.78660000000002</v>
      </c>
    </row>
    <row r="91" spans="1:3" x14ac:dyDescent="0.4">
      <c r="A91" s="1">
        <v>45381</v>
      </c>
      <c r="B91" t="s">
        <v>7</v>
      </c>
      <c r="C91">
        <v>315.04410000000001</v>
      </c>
    </row>
    <row r="92" spans="1:3" x14ac:dyDescent="0.4">
      <c r="A92" s="1">
        <v>45382</v>
      </c>
      <c r="B92" t="s">
        <v>7</v>
      </c>
      <c r="C92">
        <v>316.3066</v>
      </c>
    </row>
    <row r="93" spans="1:3" x14ac:dyDescent="0.4">
      <c r="A93" s="1">
        <v>45383</v>
      </c>
      <c r="B93" t="s">
        <v>7</v>
      </c>
      <c r="C93">
        <v>317.57429999999999</v>
      </c>
    </row>
    <row r="94" spans="1:3" x14ac:dyDescent="0.4">
      <c r="A94" s="1">
        <v>45384</v>
      </c>
      <c r="B94" t="s">
        <v>7</v>
      </c>
      <c r="C94">
        <v>318.84699999999998</v>
      </c>
    </row>
    <row r="95" spans="1:3" x14ac:dyDescent="0.4">
      <c r="A95" s="1">
        <v>45385</v>
      </c>
      <c r="B95" t="s">
        <v>7</v>
      </c>
      <c r="C95">
        <v>320.12479999999999</v>
      </c>
    </row>
    <row r="96" spans="1:3" x14ac:dyDescent="0.4">
      <c r="A96" s="1">
        <v>45386</v>
      </c>
      <c r="B96" t="s">
        <v>7</v>
      </c>
      <c r="C96">
        <v>321.40769999999998</v>
      </c>
    </row>
    <row r="97" spans="1:3" x14ac:dyDescent="0.4">
      <c r="A97" s="1">
        <v>45387</v>
      </c>
      <c r="B97" t="s">
        <v>7</v>
      </c>
      <c r="C97">
        <v>322.69569999999999</v>
      </c>
    </row>
    <row r="98" spans="1:3" x14ac:dyDescent="0.4">
      <c r="A98" s="1">
        <v>45388</v>
      </c>
      <c r="B98" t="s">
        <v>7</v>
      </c>
      <c r="C98">
        <v>323.98899999999998</v>
      </c>
    </row>
    <row r="99" spans="1:3" x14ac:dyDescent="0.4">
      <c r="A99" s="1">
        <v>45389</v>
      </c>
      <c r="B99" t="s">
        <v>7</v>
      </c>
      <c r="C99">
        <v>325.28739999999999</v>
      </c>
    </row>
    <row r="100" spans="1:3" x14ac:dyDescent="0.4">
      <c r="A100" s="1">
        <v>45390</v>
      </c>
      <c r="B100" t="s">
        <v>7</v>
      </c>
      <c r="C100">
        <v>326.59100000000001</v>
      </c>
    </row>
    <row r="101" spans="1:3" x14ac:dyDescent="0.4">
      <c r="A101" s="1">
        <v>45391</v>
      </c>
      <c r="B101" t="s">
        <v>7</v>
      </c>
      <c r="C101">
        <v>327.89980000000003</v>
      </c>
    </row>
    <row r="102" spans="1:3" x14ac:dyDescent="0.4">
      <c r="A102" s="1">
        <v>45392</v>
      </c>
      <c r="B102" t="s">
        <v>7</v>
      </c>
      <c r="C102">
        <v>329.21390000000002</v>
      </c>
    </row>
    <row r="103" spans="1:3" x14ac:dyDescent="0.4">
      <c r="A103" s="1">
        <v>45393</v>
      </c>
      <c r="B103" t="s">
        <v>7</v>
      </c>
      <c r="C103">
        <v>330.53320000000002</v>
      </c>
    </row>
    <row r="104" spans="1:3" x14ac:dyDescent="0.4">
      <c r="A104" s="1">
        <v>45394</v>
      </c>
      <c r="B104" t="s">
        <v>7</v>
      </c>
      <c r="C104">
        <v>331.8578</v>
      </c>
    </row>
    <row r="105" spans="1:3" x14ac:dyDescent="0.4">
      <c r="A105" s="1">
        <v>45395</v>
      </c>
      <c r="B105" t="s">
        <v>7</v>
      </c>
      <c r="C105">
        <v>333.18779999999998</v>
      </c>
    </row>
    <row r="106" spans="1:3" x14ac:dyDescent="0.4">
      <c r="A106" s="1">
        <v>45396</v>
      </c>
      <c r="B106" t="s">
        <v>7</v>
      </c>
      <c r="C106">
        <v>334.5231</v>
      </c>
    </row>
    <row r="107" spans="1:3" x14ac:dyDescent="0.4">
      <c r="A107" s="1">
        <v>45397</v>
      </c>
      <c r="B107" t="s">
        <v>7</v>
      </c>
      <c r="C107">
        <v>335.86369999999999</v>
      </c>
    </row>
    <row r="108" spans="1:3" x14ac:dyDescent="0.4">
      <c r="A108" s="1">
        <v>45398</v>
      </c>
      <c r="B108" t="s">
        <v>7</v>
      </c>
      <c r="C108">
        <v>337.03410000000002</v>
      </c>
    </row>
    <row r="109" spans="1:3" x14ac:dyDescent="0.4">
      <c r="A109" s="1">
        <v>45399</v>
      </c>
      <c r="B109" t="s">
        <v>7</v>
      </c>
      <c r="C109">
        <v>338.20850000000002</v>
      </c>
    </row>
    <row r="110" spans="1:3" x14ac:dyDescent="0.4">
      <c r="A110" s="1">
        <v>45400</v>
      </c>
      <c r="B110" t="s">
        <v>7</v>
      </c>
      <c r="C110">
        <v>339.38709999999998</v>
      </c>
    </row>
    <row r="111" spans="1:3" x14ac:dyDescent="0.4">
      <c r="A111" s="1">
        <v>45401</v>
      </c>
      <c r="B111" t="s">
        <v>7</v>
      </c>
      <c r="C111">
        <v>340.56979999999999</v>
      </c>
    </row>
    <row r="112" spans="1:3" x14ac:dyDescent="0.4">
      <c r="A112" s="1">
        <v>45402</v>
      </c>
      <c r="B112" t="s">
        <v>7</v>
      </c>
      <c r="C112">
        <v>341.75659999999999</v>
      </c>
    </row>
    <row r="113" spans="1:3" x14ac:dyDescent="0.4">
      <c r="A113" s="1">
        <v>45403</v>
      </c>
      <c r="B113" t="s">
        <v>7</v>
      </c>
      <c r="C113">
        <v>342.94749999999999</v>
      </c>
    </row>
    <row r="114" spans="1:3" x14ac:dyDescent="0.4">
      <c r="A114" s="1">
        <v>45404</v>
      </c>
      <c r="B114" t="s">
        <v>7</v>
      </c>
      <c r="C114">
        <v>344.14260000000002</v>
      </c>
    </row>
    <row r="115" spans="1:3" x14ac:dyDescent="0.4">
      <c r="A115" s="1">
        <v>45405</v>
      </c>
      <c r="B115" t="s">
        <v>7</v>
      </c>
      <c r="C115">
        <v>345.34179999999998</v>
      </c>
    </row>
    <row r="116" spans="1:3" x14ac:dyDescent="0.4">
      <c r="A116" s="1">
        <v>45406</v>
      </c>
      <c r="B116" t="s">
        <v>7</v>
      </c>
      <c r="C116">
        <v>346.54520000000002</v>
      </c>
    </row>
    <row r="117" spans="1:3" x14ac:dyDescent="0.4">
      <c r="A117" s="1">
        <v>45407</v>
      </c>
      <c r="B117" t="s">
        <v>7</v>
      </c>
      <c r="C117">
        <v>347.75279999999998</v>
      </c>
    </row>
    <row r="118" spans="1:3" x14ac:dyDescent="0.4">
      <c r="A118" s="1">
        <v>45408</v>
      </c>
      <c r="B118" t="s">
        <v>7</v>
      </c>
      <c r="C118">
        <v>348.96469999999999</v>
      </c>
    </row>
    <row r="119" spans="1:3" x14ac:dyDescent="0.4">
      <c r="A119" s="1">
        <v>45409</v>
      </c>
      <c r="B119" t="s">
        <v>7</v>
      </c>
      <c r="C119">
        <v>350.1807</v>
      </c>
    </row>
    <row r="120" spans="1:3" x14ac:dyDescent="0.4">
      <c r="A120" s="1">
        <v>45410</v>
      </c>
      <c r="B120" t="s">
        <v>7</v>
      </c>
      <c r="C120">
        <v>351.40100000000001</v>
      </c>
    </row>
    <row r="121" spans="1:3" x14ac:dyDescent="0.4">
      <c r="A121" s="1">
        <v>45411</v>
      </c>
      <c r="B121" t="s">
        <v>7</v>
      </c>
      <c r="C121">
        <v>352.62549999999999</v>
      </c>
    </row>
    <row r="122" spans="1:3" x14ac:dyDescent="0.4">
      <c r="A122" s="1">
        <v>45412</v>
      </c>
      <c r="B122" t="s">
        <v>7</v>
      </c>
      <c r="C122">
        <v>353.85430000000002</v>
      </c>
    </row>
    <row r="123" spans="1:3" x14ac:dyDescent="0.4">
      <c r="A123" s="1">
        <v>45413</v>
      </c>
      <c r="B123" t="s">
        <v>7</v>
      </c>
      <c r="C123">
        <v>355.0874</v>
      </c>
    </row>
    <row r="124" spans="1:3" x14ac:dyDescent="0.4">
      <c r="A124" s="1">
        <v>45414</v>
      </c>
      <c r="B124" t="s">
        <v>7</v>
      </c>
      <c r="C124">
        <v>356.32479999999998</v>
      </c>
    </row>
    <row r="125" spans="1:3" x14ac:dyDescent="0.4">
      <c r="A125" s="1">
        <v>45415</v>
      </c>
      <c r="B125" t="s">
        <v>7</v>
      </c>
      <c r="C125">
        <v>357.56650000000002</v>
      </c>
    </row>
    <row r="126" spans="1:3" x14ac:dyDescent="0.4">
      <c r="A126" s="1">
        <v>45416</v>
      </c>
      <c r="B126" t="s">
        <v>7</v>
      </c>
      <c r="C126">
        <v>358.8125</v>
      </c>
    </row>
    <row r="127" spans="1:3" x14ac:dyDescent="0.4">
      <c r="A127" s="1">
        <v>45417</v>
      </c>
      <c r="B127" t="s">
        <v>7</v>
      </c>
      <c r="C127">
        <v>360.06290000000001</v>
      </c>
    </row>
    <row r="128" spans="1:3" x14ac:dyDescent="0.4">
      <c r="A128" s="1">
        <v>45418</v>
      </c>
      <c r="B128" t="s">
        <v>7</v>
      </c>
      <c r="C128">
        <v>361.31760000000003</v>
      </c>
    </row>
    <row r="129" spans="1:3" x14ac:dyDescent="0.4">
      <c r="A129" s="1">
        <v>45419</v>
      </c>
      <c r="B129" t="s">
        <v>7</v>
      </c>
      <c r="C129">
        <v>362.57670000000002</v>
      </c>
    </row>
    <row r="130" spans="1:3" x14ac:dyDescent="0.4">
      <c r="A130" s="1">
        <v>45420</v>
      </c>
      <c r="B130" t="s">
        <v>7</v>
      </c>
      <c r="C130">
        <v>363.84019999999998</v>
      </c>
    </row>
    <row r="131" spans="1:3" x14ac:dyDescent="0.4">
      <c r="A131" s="1">
        <v>45421</v>
      </c>
      <c r="B131" t="s">
        <v>7</v>
      </c>
      <c r="C131">
        <v>365.10809999999998</v>
      </c>
    </row>
    <row r="132" spans="1:3" x14ac:dyDescent="0.4">
      <c r="A132" s="1">
        <v>45422</v>
      </c>
      <c r="B132" t="s">
        <v>7</v>
      </c>
      <c r="C132">
        <v>366.38040000000001</v>
      </c>
    </row>
    <row r="133" spans="1:3" x14ac:dyDescent="0.4">
      <c r="A133" s="1">
        <v>45423</v>
      </c>
      <c r="B133" t="s">
        <v>7</v>
      </c>
      <c r="C133">
        <v>367.65710000000001</v>
      </c>
    </row>
    <row r="134" spans="1:3" x14ac:dyDescent="0.4">
      <c r="A134" s="1">
        <v>45424</v>
      </c>
      <c r="B134" t="s">
        <v>7</v>
      </c>
      <c r="C134">
        <v>368.93830000000003</v>
      </c>
    </row>
    <row r="135" spans="1:3" x14ac:dyDescent="0.4">
      <c r="A135" s="1">
        <v>45425</v>
      </c>
      <c r="B135" t="s">
        <v>7</v>
      </c>
      <c r="C135">
        <v>370.22390000000001</v>
      </c>
    </row>
    <row r="136" spans="1:3" x14ac:dyDescent="0.4">
      <c r="A136" s="1">
        <v>45426</v>
      </c>
      <c r="B136" t="s">
        <v>7</v>
      </c>
      <c r="C136">
        <v>371.51409999999998</v>
      </c>
    </row>
    <row r="137" spans="1:3" x14ac:dyDescent="0.4">
      <c r="A137" s="1">
        <v>45427</v>
      </c>
      <c r="B137" t="s">
        <v>7</v>
      </c>
      <c r="C137">
        <v>372.80869999999999</v>
      </c>
    </row>
    <row r="138" spans="1:3" x14ac:dyDescent="0.4">
      <c r="A138" s="1">
        <v>45428</v>
      </c>
      <c r="B138" t="s">
        <v>7</v>
      </c>
      <c r="C138">
        <v>373.82440000000003</v>
      </c>
    </row>
    <row r="139" spans="1:3" x14ac:dyDescent="0.4">
      <c r="A139" s="1">
        <v>45429</v>
      </c>
      <c r="B139" t="s">
        <v>7</v>
      </c>
      <c r="C139">
        <v>374.84280000000001</v>
      </c>
    </row>
    <row r="140" spans="1:3" x14ac:dyDescent="0.4">
      <c r="A140" s="1">
        <v>45430</v>
      </c>
      <c r="B140" t="s">
        <v>7</v>
      </c>
      <c r="C140">
        <v>375.86399999999998</v>
      </c>
    </row>
    <row r="141" spans="1:3" x14ac:dyDescent="0.4">
      <c r="A141" s="1">
        <v>45431</v>
      </c>
      <c r="B141" t="s">
        <v>7</v>
      </c>
      <c r="C141">
        <v>376.88799999999998</v>
      </c>
    </row>
    <row r="142" spans="1:3" x14ac:dyDescent="0.4">
      <c r="A142" s="1">
        <v>45432</v>
      </c>
      <c r="B142" t="s">
        <v>7</v>
      </c>
      <c r="C142">
        <v>377.91480000000001</v>
      </c>
    </row>
    <row r="143" spans="1:3" x14ac:dyDescent="0.4">
      <c r="A143" s="1">
        <v>45433</v>
      </c>
      <c r="B143" t="s">
        <v>7</v>
      </c>
      <c r="C143">
        <v>378.94439999999997</v>
      </c>
    </row>
    <row r="144" spans="1:3" x14ac:dyDescent="0.4">
      <c r="A144" s="1">
        <v>45434</v>
      </c>
      <c r="B144" t="s">
        <v>7</v>
      </c>
      <c r="C144">
        <v>379.97680000000003</v>
      </c>
    </row>
    <row r="145" spans="1:3" x14ac:dyDescent="0.4">
      <c r="A145" s="1">
        <v>45435</v>
      </c>
      <c r="B145" t="s">
        <v>7</v>
      </c>
      <c r="C145">
        <v>381.012</v>
      </c>
    </row>
    <row r="146" spans="1:3" x14ac:dyDescent="0.4">
      <c r="A146" s="1">
        <v>45436</v>
      </c>
      <c r="B146" t="s">
        <v>7</v>
      </c>
      <c r="C146">
        <v>382.05</v>
      </c>
    </row>
    <row r="147" spans="1:3" x14ac:dyDescent="0.4">
      <c r="A147" s="1">
        <v>45437</v>
      </c>
      <c r="B147" t="s">
        <v>7</v>
      </c>
      <c r="C147">
        <v>383.09089999999998</v>
      </c>
    </row>
    <row r="148" spans="1:3" x14ac:dyDescent="0.4">
      <c r="A148" s="1">
        <v>45438</v>
      </c>
      <c r="B148" t="s">
        <v>7</v>
      </c>
      <c r="C148">
        <v>384.1345</v>
      </c>
    </row>
    <row r="149" spans="1:3" x14ac:dyDescent="0.4">
      <c r="A149" s="1">
        <v>45439</v>
      </c>
      <c r="B149" t="s">
        <v>7</v>
      </c>
      <c r="C149">
        <v>385.18110000000001</v>
      </c>
    </row>
    <row r="150" spans="1:3" x14ac:dyDescent="0.4">
      <c r="A150" s="1">
        <v>45440</v>
      </c>
      <c r="B150" t="s">
        <v>7</v>
      </c>
      <c r="C150">
        <v>386.23050000000001</v>
      </c>
    </row>
    <row r="151" spans="1:3" x14ac:dyDescent="0.4">
      <c r="A151" s="1">
        <v>45441</v>
      </c>
      <c r="B151" t="s">
        <v>7</v>
      </c>
      <c r="C151">
        <v>387.28269999999998</v>
      </c>
    </row>
    <row r="152" spans="1:3" x14ac:dyDescent="0.4">
      <c r="A152" s="1">
        <v>45442</v>
      </c>
      <c r="B152" t="s">
        <v>7</v>
      </c>
      <c r="C152">
        <v>388.33780000000002</v>
      </c>
    </row>
    <row r="153" spans="1:3" x14ac:dyDescent="0.4">
      <c r="A153" s="1">
        <v>45443</v>
      </c>
      <c r="B153" t="s">
        <v>7</v>
      </c>
      <c r="C153">
        <v>389.39580000000001</v>
      </c>
    </row>
    <row r="154" spans="1:3" x14ac:dyDescent="0.4">
      <c r="A154" s="1">
        <v>45444</v>
      </c>
      <c r="B154" t="s">
        <v>7</v>
      </c>
      <c r="C154">
        <v>390.45670000000001</v>
      </c>
    </row>
    <row r="155" spans="1:3" x14ac:dyDescent="0.4">
      <c r="A155" s="1">
        <v>45445</v>
      </c>
      <c r="B155" t="s">
        <v>7</v>
      </c>
      <c r="C155">
        <v>391.5204</v>
      </c>
    </row>
    <row r="156" spans="1:3" x14ac:dyDescent="0.4">
      <c r="A156" s="1">
        <v>45446</v>
      </c>
      <c r="B156" t="s">
        <v>7</v>
      </c>
      <c r="C156">
        <v>392.58710000000002</v>
      </c>
    </row>
    <row r="157" spans="1:3" x14ac:dyDescent="0.4">
      <c r="A157" s="1">
        <v>45447</v>
      </c>
      <c r="B157" t="s">
        <v>7</v>
      </c>
      <c r="C157">
        <v>393.65660000000003</v>
      </c>
    </row>
    <row r="158" spans="1:3" x14ac:dyDescent="0.4">
      <c r="A158" s="1">
        <v>45448</v>
      </c>
      <c r="B158" t="s">
        <v>7</v>
      </c>
      <c r="C158">
        <v>394.72910000000002</v>
      </c>
    </row>
    <row r="159" spans="1:3" x14ac:dyDescent="0.4">
      <c r="A159" s="1">
        <v>45449</v>
      </c>
      <c r="B159" t="s">
        <v>7</v>
      </c>
      <c r="C159">
        <v>395.80450000000002</v>
      </c>
    </row>
    <row r="160" spans="1:3" x14ac:dyDescent="0.4">
      <c r="A160" s="1">
        <v>45450</v>
      </c>
      <c r="B160" t="s">
        <v>7</v>
      </c>
      <c r="C160">
        <v>396.88279999999997</v>
      </c>
    </row>
    <row r="161" spans="1:3" x14ac:dyDescent="0.4">
      <c r="A161" s="1">
        <v>45451</v>
      </c>
      <c r="B161" t="s">
        <v>7</v>
      </c>
      <c r="C161">
        <v>397.96409999999997</v>
      </c>
    </row>
    <row r="162" spans="1:3" x14ac:dyDescent="0.4">
      <c r="A162" s="1">
        <v>45452</v>
      </c>
      <c r="B162" t="s">
        <v>7</v>
      </c>
      <c r="C162">
        <v>399.04829999999998</v>
      </c>
    </row>
    <row r="163" spans="1:3" x14ac:dyDescent="0.4">
      <c r="A163" s="1">
        <v>45453</v>
      </c>
      <c r="B163" t="s">
        <v>7</v>
      </c>
      <c r="C163">
        <v>400.1354</v>
      </c>
    </row>
    <row r="164" spans="1:3" x14ac:dyDescent="0.4">
      <c r="A164" s="1">
        <v>45454</v>
      </c>
      <c r="B164" t="s">
        <v>7</v>
      </c>
      <c r="C164">
        <v>401.22559999999999</v>
      </c>
    </row>
    <row r="165" spans="1:3" x14ac:dyDescent="0.4">
      <c r="A165" s="1">
        <v>45455</v>
      </c>
      <c r="B165" t="s">
        <v>7</v>
      </c>
      <c r="C165">
        <v>402.31869999999998</v>
      </c>
    </row>
    <row r="166" spans="1:3" x14ac:dyDescent="0.4">
      <c r="A166" s="1">
        <v>45456</v>
      </c>
      <c r="B166" t="s">
        <v>7</v>
      </c>
      <c r="C166">
        <v>403.41469999999998</v>
      </c>
    </row>
    <row r="167" spans="1:3" x14ac:dyDescent="0.4">
      <c r="A167" s="1">
        <v>45457</v>
      </c>
      <c r="B167" t="s">
        <v>7</v>
      </c>
      <c r="C167">
        <v>404.5138</v>
      </c>
    </row>
    <row r="168" spans="1:3" x14ac:dyDescent="0.4">
      <c r="A168" s="1">
        <v>45458</v>
      </c>
      <c r="B168" t="s">
        <v>7</v>
      </c>
      <c r="C168">
        <v>405.61579999999998</v>
      </c>
    </row>
    <row r="169" spans="1:3" x14ac:dyDescent="0.4">
      <c r="A169" s="1">
        <v>45459</v>
      </c>
      <c r="B169" t="s">
        <v>7</v>
      </c>
      <c r="C169">
        <v>406.17250000000001</v>
      </c>
    </row>
    <row r="170" spans="1:3" x14ac:dyDescent="0.4">
      <c r="A170" s="1">
        <v>45460</v>
      </c>
      <c r="B170" t="s">
        <v>7</v>
      </c>
      <c r="C170">
        <v>406.72989999999999</v>
      </c>
    </row>
    <row r="171" spans="1:3" x14ac:dyDescent="0.4">
      <c r="A171" s="1">
        <v>45461</v>
      </c>
      <c r="B171" t="s">
        <v>7</v>
      </c>
      <c r="C171">
        <v>407.28809999999999</v>
      </c>
    </row>
    <row r="172" spans="1:3" x14ac:dyDescent="0.4">
      <c r="A172" s="1">
        <v>45462</v>
      </c>
      <c r="B172" t="s">
        <v>7</v>
      </c>
      <c r="C172">
        <v>407.84699999999998</v>
      </c>
    </row>
    <row r="173" spans="1:3" x14ac:dyDescent="0.4">
      <c r="A173" s="1">
        <v>45463</v>
      </c>
      <c r="B173" t="s">
        <v>7</v>
      </c>
      <c r="C173">
        <v>408.4067</v>
      </c>
    </row>
    <row r="174" spans="1:3" x14ac:dyDescent="0.4">
      <c r="A174" s="1">
        <v>45464</v>
      </c>
      <c r="B174" t="s">
        <v>7</v>
      </c>
      <c r="C174">
        <v>408.96719999999999</v>
      </c>
    </row>
    <row r="175" spans="1:3" x14ac:dyDescent="0.4">
      <c r="A175" s="1">
        <v>45465</v>
      </c>
      <c r="B175" t="s">
        <v>7</v>
      </c>
      <c r="C175">
        <v>409.52839999999998</v>
      </c>
    </row>
    <row r="176" spans="1:3" x14ac:dyDescent="0.4">
      <c r="A176" s="1">
        <v>45466</v>
      </c>
      <c r="B176" t="s">
        <v>7</v>
      </c>
      <c r="C176">
        <v>410.09039999999999</v>
      </c>
    </row>
    <row r="177" spans="1:3" x14ac:dyDescent="0.4">
      <c r="A177" s="1">
        <v>45467</v>
      </c>
      <c r="B177" t="s">
        <v>7</v>
      </c>
      <c r="C177">
        <v>410.65320000000003</v>
      </c>
    </row>
    <row r="178" spans="1:3" x14ac:dyDescent="0.4">
      <c r="A178" s="1">
        <v>45468</v>
      </c>
      <c r="B178" t="s">
        <v>7</v>
      </c>
      <c r="C178">
        <v>411.21679999999998</v>
      </c>
    </row>
    <row r="179" spans="1:3" x14ac:dyDescent="0.4">
      <c r="A179" s="1">
        <v>45469</v>
      </c>
      <c r="B179" t="s">
        <v>7</v>
      </c>
      <c r="C179">
        <v>411.78109999999998</v>
      </c>
    </row>
    <row r="180" spans="1:3" x14ac:dyDescent="0.4">
      <c r="A180" s="1">
        <v>45470</v>
      </c>
      <c r="B180" t="s">
        <v>7</v>
      </c>
      <c r="C180">
        <v>412.34620000000001</v>
      </c>
    </row>
    <row r="181" spans="1:3" x14ac:dyDescent="0.4">
      <c r="A181" s="1">
        <v>45471</v>
      </c>
      <c r="B181" t="s">
        <v>7</v>
      </c>
      <c r="C181">
        <v>412.91210000000001</v>
      </c>
    </row>
    <row r="182" spans="1:3" x14ac:dyDescent="0.4">
      <c r="A182" s="1">
        <v>45472</v>
      </c>
      <c r="B182" t="s">
        <v>7</v>
      </c>
      <c r="C182">
        <v>413.4787</v>
      </c>
    </row>
    <row r="183" spans="1:3" x14ac:dyDescent="0.4">
      <c r="A183" s="1">
        <v>45473</v>
      </c>
      <c r="B183" t="s">
        <v>7</v>
      </c>
      <c r="C183">
        <v>414.0462</v>
      </c>
    </row>
    <row r="184" spans="1:3" x14ac:dyDescent="0.4">
      <c r="A184" s="1">
        <v>45474</v>
      </c>
      <c r="B184" t="s">
        <v>7</v>
      </c>
      <c r="C184">
        <v>414.61439999999999</v>
      </c>
    </row>
    <row r="185" spans="1:3" x14ac:dyDescent="0.4">
      <c r="A185" s="1">
        <v>45475</v>
      </c>
      <c r="B185" t="s">
        <v>7</v>
      </c>
      <c r="C185">
        <v>415.18340000000001</v>
      </c>
    </row>
    <row r="186" spans="1:3" x14ac:dyDescent="0.4">
      <c r="A186" s="1">
        <v>45476</v>
      </c>
      <c r="B186" t="s">
        <v>7</v>
      </c>
      <c r="C186">
        <v>415.75310000000002</v>
      </c>
    </row>
    <row r="187" spans="1:3" x14ac:dyDescent="0.4">
      <c r="A187" s="1">
        <v>45477</v>
      </c>
      <c r="B187" t="s">
        <v>7</v>
      </c>
      <c r="C187">
        <v>416.32369999999997</v>
      </c>
    </row>
    <row r="188" spans="1:3" x14ac:dyDescent="0.4">
      <c r="A188" s="1">
        <v>45478</v>
      </c>
      <c r="B188" t="s">
        <v>7</v>
      </c>
      <c r="C188">
        <v>416.89499999999998</v>
      </c>
    </row>
    <row r="189" spans="1:3" x14ac:dyDescent="0.4">
      <c r="A189" s="1">
        <v>45479</v>
      </c>
      <c r="B189" t="s">
        <v>7</v>
      </c>
      <c r="C189">
        <v>417.46719999999999</v>
      </c>
    </row>
    <row r="190" spans="1:3" x14ac:dyDescent="0.4">
      <c r="A190" s="1">
        <v>45480</v>
      </c>
      <c r="B190" t="s">
        <v>7</v>
      </c>
      <c r="C190">
        <v>418.0401</v>
      </c>
    </row>
    <row r="191" spans="1:3" x14ac:dyDescent="0.4">
      <c r="A191" s="1">
        <v>45481</v>
      </c>
      <c r="B191" t="s">
        <v>7</v>
      </c>
      <c r="C191">
        <v>418.61380000000003</v>
      </c>
    </row>
    <row r="192" spans="1:3" x14ac:dyDescent="0.4">
      <c r="A192" s="1">
        <v>45482</v>
      </c>
      <c r="B192" t="s">
        <v>7</v>
      </c>
      <c r="C192">
        <v>419.18819999999999</v>
      </c>
    </row>
    <row r="193" spans="1:3" x14ac:dyDescent="0.4">
      <c r="A193" s="1">
        <v>45483</v>
      </c>
      <c r="B193" t="s">
        <v>7</v>
      </c>
      <c r="C193">
        <v>419.76350000000002</v>
      </c>
    </row>
    <row r="194" spans="1:3" x14ac:dyDescent="0.4">
      <c r="A194" s="1">
        <v>45484</v>
      </c>
      <c r="B194" t="s">
        <v>7</v>
      </c>
      <c r="C194">
        <v>420.33960000000002</v>
      </c>
    </row>
    <row r="195" spans="1:3" x14ac:dyDescent="0.4">
      <c r="A195" s="1">
        <v>45485</v>
      </c>
      <c r="B195" t="s">
        <v>7</v>
      </c>
      <c r="C195">
        <v>420.91640000000001</v>
      </c>
    </row>
    <row r="196" spans="1:3" x14ac:dyDescent="0.4">
      <c r="A196" s="1">
        <v>45486</v>
      </c>
      <c r="B196" t="s">
        <v>7</v>
      </c>
      <c r="C196">
        <v>421.49400000000003</v>
      </c>
    </row>
    <row r="197" spans="1:3" x14ac:dyDescent="0.4">
      <c r="A197" s="1">
        <v>45487</v>
      </c>
      <c r="B197" t="s">
        <v>7</v>
      </c>
      <c r="C197">
        <v>422.07249999999999</v>
      </c>
    </row>
    <row r="198" spans="1:3" x14ac:dyDescent="0.4">
      <c r="A198" s="1">
        <v>45488</v>
      </c>
      <c r="B198" t="s">
        <v>7</v>
      </c>
      <c r="C198">
        <v>422.65170000000001</v>
      </c>
    </row>
    <row r="199" spans="1:3" x14ac:dyDescent="0.4">
      <c r="A199" s="1">
        <v>45489</v>
      </c>
      <c r="B199" t="s">
        <v>7</v>
      </c>
      <c r="C199">
        <v>423.26530000000002</v>
      </c>
    </row>
    <row r="200" spans="1:3" x14ac:dyDescent="0.4">
      <c r="A200" s="1">
        <v>45490</v>
      </c>
      <c r="B200" t="s">
        <v>7</v>
      </c>
      <c r="C200">
        <v>423.87979999999999</v>
      </c>
    </row>
    <row r="201" spans="1:3" x14ac:dyDescent="0.4">
      <c r="A201" s="1">
        <v>45491</v>
      </c>
      <c r="B201" t="s">
        <v>7</v>
      </c>
      <c r="C201">
        <v>424.49520000000001</v>
      </c>
    </row>
    <row r="202" spans="1:3" x14ac:dyDescent="0.4">
      <c r="A202" s="1">
        <v>45492</v>
      </c>
      <c r="B202" t="s">
        <v>7</v>
      </c>
      <c r="C202">
        <v>425.11149999999998</v>
      </c>
    </row>
    <row r="203" spans="1:3" x14ac:dyDescent="0.4">
      <c r="A203" s="1">
        <v>45493</v>
      </c>
      <c r="B203" t="s">
        <v>7</v>
      </c>
      <c r="C203">
        <v>425.7287</v>
      </c>
    </row>
    <row r="204" spans="1:3" x14ac:dyDescent="0.4">
      <c r="A204" s="1">
        <v>45494</v>
      </c>
      <c r="B204" t="s">
        <v>7</v>
      </c>
      <c r="C204">
        <v>426.3467</v>
      </c>
    </row>
    <row r="205" spans="1:3" x14ac:dyDescent="0.4">
      <c r="A205" s="1">
        <v>45495</v>
      </c>
      <c r="B205" t="s">
        <v>7</v>
      </c>
      <c r="C205">
        <v>426.96570000000003</v>
      </c>
    </row>
    <row r="206" spans="1:3" x14ac:dyDescent="0.4">
      <c r="A206" s="1">
        <v>45496</v>
      </c>
      <c r="B206" t="s">
        <v>7</v>
      </c>
      <c r="C206">
        <v>427.5856</v>
      </c>
    </row>
    <row r="207" spans="1:3" x14ac:dyDescent="0.4">
      <c r="A207" s="1">
        <v>45497</v>
      </c>
      <c r="B207" t="s">
        <v>7</v>
      </c>
      <c r="C207">
        <v>428.20639999999997</v>
      </c>
    </row>
    <row r="208" spans="1:3" x14ac:dyDescent="0.4">
      <c r="A208" s="1">
        <v>45498</v>
      </c>
      <c r="B208" t="s">
        <v>7</v>
      </c>
      <c r="C208">
        <v>428.82799999999997</v>
      </c>
    </row>
    <row r="209" spans="1:3" x14ac:dyDescent="0.4">
      <c r="A209" s="1">
        <v>45499</v>
      </c>
      <c r="B209" t="s">
        <v>7</v>
      </c>
      <c r="C209">
        <v>429.45060000000001</v>
      </c>
    </row>
    <row r="210" spans="1:3" x14ac:dyDescent="0.4">
      <c r="A210" s="1">
        <v>45500</v>
      </c>
      <c r="B210" t="s">
        <v>7</v>
      </c>
      <c r="C210">
        <v>430.07409999999999</v>
      </c>
    </row>
    <row r="211" spans="1:3" x14ac:dyDescent="0.4">
      <c r="A211" s="1">
        <v>45501</v>
      </c>
      <c r="B211" t="s">
        <v>7</v>
      </c>
      <c r="C211">
        <v>430.69850000000002</v>
      </c>
    </row>
    <row r="212" spans="1:3" x14ac:dyDescent="0.4">
      <c r="A212" s="1">
        <v>45502</v>
      </c>
      <c r="B212" t="s">
        <v>7</v>
      </c>
      <c r="C212">
        <v>431.32380000000001</v>
      </c>
    </row>
    <row r="213" spans="1:3" x14ac:dyDescent="0.4">
      <c r="A213" s="1">
        <v>45503</v>
      </c>
      <c r="B213" t="s">
        <v>7</v>
      </c>
      <c r="C213">
        <v>431.95</v>
      </c>
    </row>
    <row r="214" spans="1:3" x14ac:dyDescent="0.4">
      <c r="A214" s="1">
        <v>45504</v>
      </c>
      <c r="B214" t="s">
        <v>7</v>
      </c>
      <c r="C214">
        <v>432.57709999999997</v>
      </c>
    </row>
    <row r="215" spans="1:3" x14ac:dyDescent="0.4">
      <c r="A215" s="1">
        <v>45505</v>
      </c>
      <c r="B215" t="s">
        <v>7</v>
      </c>
      <c r="C215">
        <v>433.20510000000002</v>
      </c>
    </row>
    <row r="216" spans="1:3" x14ac:dyDescent="0.4">
      <c r="A216" s="1">
        <v>45506</v>
      </c>
      <c r="B216" t="s">
        <v>7</v>
      </c>
      <c r="C216">
        <v>433.834</v>
      </c>
    </row>
    <row r="217" spans="1:3" x14ac:dyDescent="0.4">
      <c r="A217" s="1">
        <v>45507</v>
      </c>
      <c r="B217" t="s">
        <v>7</v>
      </c>
      <c r="C217">
        <v>434.46390000000002</v>
      </c>
    </row>
    <row r="218" spans="1:3" x14ac:dyDescent="0.4">
      <c r="A218" s="1">
        <v>45508</v>
      </c>
      <c r="B218" t="s">
        <v>7</v>
      </c>
      <c r="C218">
        <v>435.09460000000001</v>
      </c>
    </row>
    <row r="219" spans="1:3" x14ac:dyDescent="0.4">
      <c r="A219" s="1">
        <v>45509</v>
      </c>
      <c r="B219" t="s">
        <v>7</v>
      </c>
      <c r="C219">
        <v>435.72629999999998</v>
      </c>
    </row>
    <row r="220" spans="1:3" x14ac:dyDescent="0.4">
      <c r="A220" s="1">
        <v>45510</v>
      </c>
      <c r="B220" t="s">
        <v>7</v>
      </c>
      <c r="C220">
        <v>436.35890000000001</v>
      </c>
    </row>
    <row r="221" spans="1:3" x14ac:dyDescent="0.4">
      <c r="A221" s="1">
        <v>45511</v>
      </c>
      <c r="B221" t="s">
        <v>7</v>
      </c>
      <c r="C221">
        <v>436.99239999999998</v>
      </c>
    </row>
    <row r="222" spans="1:3" x14ac:dyDescent="0.4">
      <c r="A222" s="1">
        <v>45512</v>
      </c>
      <c r="B222" t="s">
        <v>7</v>
      </c>
      <c r="C222">
        <v>437.6268</v>
      </c>
    </row>
    <row r="223" spans="1:3" x14ac:dyDescent="0.4">
      <c r="A223" s="1">
        <v>45513</v>
      </c>
      <c r="B223" t="s">
        <v>7</v>
      </c>
      <c r="C223">
        <v>438.26220000000001</v>
      </c>
    </row>
    <row r="224" spans="1:3" x14ac:dyDescent="0.4">
      <c r="A224" s="1">
        <v>45514</v>
      </c>
      <c r="B224" t="s">
        <v>7</v>
      </c>
      <c r="C224">
        <v>438.89839999999998</v>
      </c>
    </row>
    <row r="225" spans="1:3" x14ac:dyDescent="0.4">
      <c r="A225" s="1">
        <v>45515</v>
      </c>
      <c r="B225" t="s">
        <v>7</v>
      </c>
      <c r="C225">
        <v>439.53559999999999</v>
      </c>
    </row>
    <row r="226" spans="1:3" x14ac:dyDescent="0.4">
      <c r="A226" s="1">
        <v>45516</v>
      </c>
      <c r="B226" t="s">
        <v>7</v>
      </c>
      <c r="C226">
        <v>440.17380000000003</v>
      </c>
    </row>
    <row r="227" spans="1:3" x14ac:dyDescent="0.4">
      <c r="A227" s="1">
        <v>45517</v>
      </c>
      <c r="B227" t="s">
        <v>7</v>
      </c>
      <c r="C227">
        <v>440.81279999999998</v>
      </c>
    </row>
    <row r="228" spans="1:3" x14ac:dyDescent="0.4">
      <c r="A228" s="1">
        <v>45518</v>
      </c>
      <c r="B228" t="s">
        <v>7</v>
      </c>
      <c r="C228">
        <v>441.45280000000002</v>
      </c>
    </row>
    <row r="229" spans="1:3" x14ac:dyDescent="0.4">
      <c r="A229" s="1">
        <v>45519</v>
      </c>
      <c r="B229" t="s">
        <v>7</v>
      </c>
      <c r="C229">
        <v>442.09370000000001</v>
      </c>
    </row>
    <row r="230" spans="1:3" x14ac:dyDescent="0.4">
      <c r="A230" s="1">
        <v>45520</v>
      </c>
      <c r="B230" t="s">
        <v>7</v>
      </c>
      <c r="C230">
        <v>442.65339999999998</v>
      </c>
    </row>
    <row r="231" spans="1:3" x14ac:dyDescent="0.4">
      <c r="A231" s="1">
        <v>45521</v>
      </c>
      <c r="B231" t="s">
        <v>7</v>
      </c>
      <c r="C231">
        <v>443.21379999999999</v>
      </c>
    </row>
    <row r="232" spans="1:3" x14ac:dyDescent="0.4">
      <c r="A232" s="1">
        <v>45522</v>
      </c>
      <c r="B232" t="s">
        <v>7</v>
      </c>
      <c r="C232">
        <v>443.7749</v>
      </c>
    </row>
    <row r="233" spans="1:3" x14ac:dyDescent="0.4">
      <c r="A233" s="1">
        <v>45523</v>
      </c>
      <c r="B233" t="s">
        <v>7</v>
      </c>
      <c r="C233">
        <v>444.33670000000001</v>
      </c>
    </row>
    <row r="234" spans="1:3" x14ac:dyDescent="0.4">
      <c r="A234" s="1">
        <v>45524</v>
      </c>
      <c r="B234" t="s">
        <v>7</v>
      </c>
      <c r="C234">
        <v>444.89920000000001</v>
      </c>
    </row>
    <row r="235" spans="1:3" x14ac:dyDescent="0.4">
      <c r="A235" s="1">
        <v>45525</v>
      </c>
      <c r="B235" t="s">
        <v>7</v>
      </c>
      <c r="C235">
        <v>445.4624</v>
      </c>
    </row>
    <row r="236" spans="1:3" x14ac:dyDescent="0.4">
      <c r="A236" s="1">
        <v>45526</v>
      </c>
      <c r="B236" t="s">
        <v>7</v>
      </c>
      <c r="C236">
        <v>446.02640000000002</v>
      </c>
    </row>
    <row r="237" spans="1:3" x14ac:dyDescent="0.4">
      <c r="A237" s="1">
        <v>45527</v>
      </c>
      <c r="B237" t="s">
        <v>7</v>
      </c>
      <c r="C237">
        <v>446.59100000000001</v>
      </c>
    </row>
    <row r="238" spans="1:3" x14ac:dyDescent="0.4">
      <c r="A238" s="1">
        <v>45528</v>
      </c>
      <c r="B238" t="s">
        <v>7</v>
      </c>
      <c r="C238">
        <v>447.15640000000002</v>
      </c>
    </row>
    <row r="239" spans="1:3" x14ac:dyDescent="0.4">
      <c r="A239" s="1">
        <v>45529</v>
      </c>
      <c r="B239" t="s">
        <v>7</v>
      </c>
      <c r="C239">
        <v>447.72250000000003</v>
      </c>
    </row>
    <row r="240" spans="1:3" x14ac:dyDescent="0.4">
      <c r="A240" s="1">
        <v>45530</v>
      </c>
      <c r="B240" t="s">
        <v>7</v>
      </c>
      <c r="C240">
        <v>448.28930000000003</v>
      </c>
    </row>
    <row r="241" spans="1:3" x14ac:dyDescent="0.4">
      <c r="A241" s="1">
        <v>45531</v>
      </c>
      <c r="B241" t="s">
        <v>7</v>
      </c>
      <c r="C241">
        <v>448.8569</v>
      </c>
    </row>
    <row r="242" spans="1:3" x14ac:dyDescent="0.4">
      <c r="A242" s="1">
        <v>45532</v>
      </c>
      <c r="B242" t="s">
        <v>7</v>
      </c>
      <c r="C242">
        <v>449.42509999999999</v>
      </c>
    </row>
    <row r="243" spans="1:3" x14ac:dyDescent="0.4">
      <c r="A243" s="1">
        <v>45533</v>
      </c>
      <c r="B243" t="s">
        <v>7</v>
      </c>
      <c r="C243">
        <v>449.9941</v>
      </c>
    </row>
    <row r="244" spans="1:3" x14ac:dyDescent="0.4">
      <c r="A244" s="1">
        <v>45534</v>
      </c>
      <c r="B244" t="s">
        <v>7</v>
      </c>
      <c r="C244">
        <v>450.56380000000001</v>
      </c>
    </row>
    <row r="245" spans="1:3" x14ac:dyDescent="0.4">
      <c r="A245" s="1">
        <v>45535</v>
      </c>
      <c r="B245" t="s">
        <v>7</v>
      </c>
      <c r="C245">
        <v>451.13420000000002</v>
      </c>
    </row>
    <row r="246" spans="1:3" x14ac:dyDescent="0.4">
      <c r="A246" s="1">
        <v>45536</v>
      </c>
      <c r="B246" t="s">
        <v>7</v>
      </c>
      <c r="C246">
        <v>451.70530000000002</v>
      </c>
    </row>
    <row r="247" spans="1:3" x14ac:dyDescent="0.4">
      <c r="A247" s="1">
        <v>45537</v>
      </c>
      <c r="B247" t="s">
        <v>7</v>
      </c>
      <c r="C247">
        <v>452.27710000000002</v>
      </c>
    </row>
    <row r="248" spans="1:3" x14ac:dyDescent="0.4">
      <c r="A248" s="1">
        <v>45538</v>
      </c>
      <c r="B248" t="s">
        <v>7</v>
      </c>
      <c r="C248">
        <v>452.84969999999998</v>
      </c>
    </row>
    <row r="249" spans="1:3" x14ac:dyDescent="0.4">
      <c r="A249" s="1">
        <v>45539</v>
      </c>
      <c r="B249" t="s">
        <v>7</v>
      </c>
      <c r="C249">
        <v>453.423</v>
      </c>
    </row>
    <row r="250" spans="1:3" x14ac:dyDescent="0.4">
      <c r="A250" s="1">
        <v>45540</v>
      </c>
      <c r="B250" t="s">
        <v>7</v>
      </c>
      <c r="C250">
        <v>453.99700000000001</v>
      </c>
    </row>
    <row r="251" spans="1:3" x14ac:dyDescent="0.4">
      <c r="A251" s="1">
        <v>45541</v>
      </c>
      <c r="B251" t="s">
        <v>7</v>
      </c>
      <c r="C251">
        <v>454.5718</v>
      </c>
    </row>
    <row r="252" spans="1:3" x14ac:dyDescent="0.4">
      <c r="A252" s="1">
        <v>45542</v>
      </c>
      <c r="B252" t="s">
        <v>7</v>
      </c>
      <c r="C252">
        <v>455.14729999999997</v>
      </c>
    </row>
    <row r="253" spans="1:3" x14ac:dyDescent="0.4">
      <c r="A253" s="1">
        <v>45543</v>
      </c>
      <c r="B253" t="s">
        <v>7</v>
      </c>
      <c r="C253">
        <v>455.7235</v>
      </c>
    </row>
    <row r="254" spans="1:3" x14ac:dyDescent="0.4">
      <c r="A254" s="1">
        <v>45544</v>
      </c>
      <c r="B254" t="s">
        <v>7</v>
      </c>
      <c r="C254">
        <v>456.30040000000002</v>
      </c>
    </row>
    <row r="255" spans="1:3" x14ac:dyDescent="0.4">
      <c r="A255" s="1">
        <v>45545</v>
      </c>
      <c r="B255" t="s">
        <v>7</v>
      </c>
      <c r="C255">
        <v>456.87810000000002</v>
      </c>
    </row>
    <row r="256" spans="1:3" x14ac:dyDescent="0.4">
      <c r="A256" s="1">
        <v>45546</v>
      </c>
      <c r="B256" t="s">
        <v>7</v>
      </c>
      <c r="C256">
        <v>457.45650000000001</v>
      </c>
    </row>
    <row r="257" spans="1:3" x14ac:dyDescent="0.4">
      <c r="A257" s="1">
        <v>45547</v>
      </c>
      <c r="B257" t="s">
        <v>7</v>
      </c>
      <c r="C257">
        <v>458.03559999999999</v>
      </c>
    </row>
    <row r="258" spans="1:3" x14ac:dyDescent="0.4">
      <c r="A258" s="1">
        <v>45548</v>
      </c>
      <c r="B258" t="s">
        <v>7</v>
      </c>
      <c r="C258">
        <v>458.6155</v>
      </c>
    </row>
    <row r="259" spans="1:3" x14ac:dyDescent="0.4">
      <c r="A259" s="1">
        <v>45549</v>
      </c>
      <c r="B259" t="s">
        <v>7</v>
      </c>
      <c r="C259">
        <v>459.1961</v>
      </c>
    </row>
    <row r="260" spans="1:3" x14ac:dyDescent="0.4">
      <c r="A260" s="1">
        <v>45550</v>
      </c>
      <c r="B260" t="s">
        <v>7</v>
      </c>
      <c r="C260">
        <v>459.7774</v>
      </c>
    </row>
    <row r="261" spans="1:3" x14ac:dyDescent="0.4">
      <c r="A261" s="1">
        <v>45551</v>
      </c>
      <c r="B261" t="s">
        <v>7</v>
      </c>
      <c r="C261">
        <v>460.40839999999997</v>
      </c>
    </row>
    <row r="262" spans="1:3" x14ac:dyDescent="0.4">
      <c r="A262" s="1">
        <v>45552</v>
      </c>
      <c r="B262" t="s">
        <v>7</v>
      </c>
      <c r="C262">
        <v>461.04020000000003</v>
      </c>
    </row>
    <row r="263" spans="1:3" x14ac:dyDescent="0.4">
      <c r="A263" s="1">
        <v>45553</v>
      </c>
      <c r="B263" t="s">
        <v>7</v>
      </c>
      <c r="C263">
        <v>461.67290000000003</v>
      </c>
    </row>
    <row r="264" spans="1:3" x14ac:dyDescent="0.4">
      <c r="A264" s="1">
        <v>45554</v>
      </c>
      <c r="B264" t="s">
        <v>7</v>
      </c>
      <c r="C264">
        <v>462.30650000000003</v>
      </c>
    </row>
    <row r="265" spans="1:3" x14ac:dyDescent="0.4">
      <c r="A265" s="1">
        <v>45555</v>
      </c>
      <c r="B265" t="s">
        <v>7</v>
      </c>
      <c r="C265">
        <v>462.94099999999997</v>
      </c>
    </row>
    <row r="266" spans="1:3" x14ac:dyDescent="0.4">
      <c r="A266" s="1">
        <v>45556</v>
      </c>
      <c r="B266" t="s">
        <v>7</v>
      </c>
      <c r="C266">
        <v>463.5763</v>
      </c>
    </row>
    <row r="267" spans="1:3" x14ac:dyDescent="0.4">
      <c r="A267" s="1">
        <v>45557</v>
      </c>
      <c r="B267" t="s">
        <v>7</v>
      </c>
      <c r="C267">
        <v>464.21249999999998</v>
      </c>
    </row>
    <row r="268" spans="1:3" x14ac:dyDescent="0.4">
      <c r="A268" s="1">
        <v>45558</v>
      </c>
      <c r="B268" t="s">
        <v>7</v>
      </c>
      <c r="C268">
        <v>464.84949999999998</v>
      </c>
    </row>
    <row r="269" spans="1:3" x14ac:dyDescent="0.4">
      <c r="A269" s="1">
        <v>45559</v>
      </c>
      <c r="B269" t="s">
        <v>7</v>
      </c>
      <c r="C269">
        <v>465.48739999999998</v>
      </c>
    </row>
    <row r="270" spans="1:3" x14ac:dyDescent="0.4">
      <c r="A270" s="1">
        <v>45560</v>
      </c>
      <c r="B270" t="s">
        <v>7</v>
      </c>
      <c r="C270">
        <v>466.12619999999998</v>
      </c>
    </row>
    <row r="271" spans="1:3" x14ac:dyDescent="0.4">
      <c r="A271" s="1">
        <v>45561</v>
      </c>
      <c r="B271" t="s">
        <v>7</v>
      </c>
      <c r="C271">
        <v>466.76589999999999</v>
      </c>
    </row>
    <row r="272" spans="1:3" x14ac:dyDescent="0.4">
      <c r="A272" s="1">
        <v>45562</v>
      </c>
      <c r="B272" t="s">
        <v>7</v>
      </c>
      <c r="C272">
        <v>467.40649999999999</v>
      </c>
    </row>
    <row r="273" spans="1:3" x14ac:dyDescent="0.4">
      <c r="A273" s="1">
        <v>45563</v>
      </c>
      <c r="B273" t="s">
        <v>7</v>
      </c>
      <c r="C273">
        <v>468.04790000000003</v>
      </c>
    </row>
    <row r="274" spans="1:3" x14ac:dyDescent="0.4">
      <c r="A274" s="1">
        <v>45564</v>
      </c>
      <c r="B274" t="s">
        <v>7</v>
      </c>
      <c r="C274">
        <v>468.69029999999998</v>
      </c>
    </row>
    <row r="275" spans="1:3" x14ac:dyDescent="0.4">
      <c r="A275" s="1">
        <v>45565</v>
      </c>
      <c r="B275" t="s">
        <v>7</v>
      </c>
      <c r="C275">
        <v>469.33350000000002</v>
      </c>
    </row>
    <row r="276" spans="1:3" x14ac:dyDescent="0.4">
      <c r="A276" s="1">
        <v>45566</v>
      </c>
      <c r="B276" t="s">
        <v>7</v>
      </c>
      <c r="C276">
        <v>469.97750000000002</v>
      </c>
    </row>
    <row r="277" spans="1:3" x14ac:dyDescent="0.4">
      <c r="A277" s="1">
        <v>45567</v>
      </c>
      <c r="B277" t="s">
        <v>7</v>
      </c>
      <c r="C277">
        <v>470.6225</v>
      </c>
    </row>
    <row r="278" spans="1:3" x14ac:dyDescent="0.4">
      <c r="A278" s="1">
        <v>45568</v>
      </c>
      <c r="B278" t="s">
        <v>7</v>
      </c>
      <c r="C278">
        <v>471.26839999999999</v>
      </c>
    </row>
    <row r="279" spans="1:3" x14ac:dyDescent="0.4">
      <c r="A279" s="1">
        <v>45569</v>
      </c>
      <c r="B279" t="s">
        <v>7</v>
      </c>
      <c r="C279">
        <v>471.9151</v>
      </c>
    </row>
    <row r="280" spans="1:3" x14ac:dyDescent="0.4">
      <c r="A280" s="1">
        <v>45570</v>
      </c>
      <c r="B280" t="s">
        <v>7</v>
      </c>
      <c r="C280">
        <v>472.56270000000001</v>
      </c>
    </row>
    <row r="281" spans="1:3" x14ac:dyDescent="0.4">
      <c r="A281" s="1">
        <v>45571</v>
      </c>
      <c r="B281" t="s">
        <v>7</v>
      </c>
      <c r="C281">
        <v>473.21120000000002</v>
      </c>
    </row>
    <row r="282" spans="1:3" x14ac:dyDescent="0.4">
      <c r="A282" s="1">
        <v>45572</v>
      </c>
      <c r="B282" t="s">
        <v>7</v>
      </c>
      <c r="C282">
        <v>473.86070000000001</v>
      </c>
    </row>
    <row r="283" spans="1:3" x14ac:dyDescent="0.4">
      <c r="A283" s="1">
        <v>45573</v>
      </c>
      <c r="B283" t="s">
        <v>7</v>
      </c>
      <c r="C283">
        <v>474.51089999999999</v>
      </c>
    </row>
    <row r="284" spans="1:3" x14ac:dyDescent="0.4">
      <c r="A284" s="1">
        <v>45574</v>
      </c>
      <c r="B284" t="s">
        <v>7</v>
      </c>
      <c r="C284">
        <v>475.16210000000001</v>
      </c>
    </row>
    <row r="285" spans="1:3" x14ac:dyDescent="0.4">
      <c r="A285" s="1">
        <v>45575</v>
      </c>
      <c r="B285" t="s">
        <v>7</v>
      </c>
      <c r="C285">
        <v>475.81420000000003</v>
      </c>
    </row>
    <row r="286" spans="1:3" x14ac:dyDescent="0.4">
      <c r="A286" s="1">
        <v>45576</v>
      </c>
      <c r="B286" t="s">
        <v>7</v>
      </c>
      <c r="C286">
        <v>476.46719999999999</v>
      </c>
    </row>
    <row r="287" spans="1:3" x14ac:dyDescent="0.4">
      <c r="A287" s="1">
        <v>45577</v>
      </c>
      <c r="B287" t="s">
        <v>7</v>
      </c>
      <c r="C287">
        <v>477.12110000000001</v>
      </c>
    </row>
    <row r="288" spans="1:3" x14ac:dyDescent="0.4">
      <c r="A288" s="1">
        <v>45578</v>
      </c>
      <c r="B288" t="s">
        <v>7</v>
      </c>
      <c r="C288">
        <v>477.7758</v>
      </c>
    </row>
    <row r="289" spans="1:3" x14ac:dyDescent="0.4">
      <c r="A289" s="1">
        <v>45579</v>
      </c>
      <c r="B289" t="s">
        <v>7</v>
      </c>
      <c r="C289">
        <v>478.43150000000003</v>
      </c>
    </row>
    <row r="290" spans="1:3" x14ac:dyDescent="0.4">
      <c r="A290" s="1">
        <v>45580</v>
      </c>
      <c r="B290" t="s">
        <v>7</v>
      </c>
      <c r="C290">
        <v>479.0881</v>
      </c>
    </row>
    <row r="291" spans="1:3" x14ac:dyDescent="0.4">
      <c r="A291" s="1">
        <v>45581</v>
      </c>
      <c r="B291" t="s">
        <v>7</v>
      </c>
      <c r="C291">
        <v>479.62</v>
      </c>
    </row>
    <row r="292" spans="1:3" x14ac:dyDescent="0.4">
      <c r="A292" s="1">
        <v>45582</v>
      </c>
      <c r="B292" t="s">
        <v>7</v>
      </c>
      <c r="C292">
        <v>480.15260000000001</v>
      </c>
    </row>
    <row r="293" spans="1:3" x14ac:dyDescent="0.4">
      <c r="A293" s="1">
        <v>45583</v>
      </c>
      <c r="B293" t="s">
        <v>7</v>
      </c>
      <c r="C293">
        <v>480.6857</v>
      </c>
    </row>
    <row r="294" spans="1:3" x14ac:dyDescent="0.4">
      <c r="A294" s="1">
        <v>45584</v>
      </c>
      <c r="B294" t="s">
        <v>7</v>
      </c>
      <c r="C294">
        <v>481.21940000000001</v>
      </c>
    </row>
    <row r="295" spans="1:3" x14ac:dyDescent="0.4">
      <c r="A295" s="1">
        <v>45585</v>
      </c>
      <c r="B295" t="s">
        <v>7</v>
      </c>
      <c r="C295">
        <v>481.75380000000001</v>
      </c>
    </row>
    <row r="296" spans="1:3" x14ac:dyDescent="0.4">
      <c r="A296" s="1">
        <v>45586</v>
      </c>
      <c r="B296" t="s">
        <v>7</v>
      </c>
      <c r="C296">
        <v>482.28870000000001</v>
      </c>
    </row>
    <row r="297" spans="1:3" x14ac:dyDescent="0.4">
      <c r="A297" s="1">
        <v>45587</v>
      </c>
      <c r="B297" t="s">
        <v>7</v>
      </c>
      <c r="C297">
        <v>482.82420000000002</v>
      </c>
    </row>
    <row r="298" spans="1:3" x14ac:dyDescent="0.4">
      <c r="A298" s="1">
        <v>45588</v>
      </c>
      <c r="B298" t="s">
        <v>7</v>
      </c>
      <c r="C298">
        <v>483.3603</v>
      </c>
    </row>
    <row r="299" spans="1:3" x14ac:dyDescent="0.4">
      <c r="A299" s="1">
        <v>45589</v>
      </c>
      <c r="B299" t="s">
        <v>7</v>
      </c>
      <c r="C299">
        <v>483.89699999999999</v>
      </c>
    </row>
    <row r="300" spans="1:3" x14ac:dyDescent="0.4">
      <c r="A300" s="1">
        <v>45590</v>
      </c>
      <c r="B300" t="s">
        <v>7</v>
      </c>
      <c r="C300">
        <v>484.43419999999998</v>
      </c>
    </row>
    <row r="301" spans="1:3" x14ac:dyDescent="0.4">
      <c r="A301" s="1">
        <v>45591</v>
      </c>
      <c r="B301" t="s">
        <v>7</v>
      </c>
      <c r="C301">
        <v>484.97210000000001</v>
      </c>
    </row>
    <row r="302" spans="1:3" x14ac:dyDescent="0.4">
      <c r="A302" s="1">
        <v>45592</v>
      </c>
      <c r="B302" t="s">
        <v>7</v>
      </c>
      <c r="C302">
        <v>485.51060000000001</v>
      </c>
    </row>
    <row r="303" spans="1:3" x14ac:dyDescent="0.4">
      <c r="A303" s="1">
        <v>45593</v>
      </c>
      <c r="B303" t="s">
        <v>7</v>
      </c>
      <c r="C303">
        <v>486.04969999999997</v>
      </c>
    </row>
    <row r="304" spans="1:3" x14ac:dyDescent="0.4">
      <c r="A304" s="1">
        <v>45594</v>
      </c>
      <c r="B304" t="s">
        <v>7</v>
      </c>
      <c r="C304">
        <v>486.58940000000001</v>
      </c>
    </row>
    <row r="305" spans="1:3" x14ac:dyDescent="0.4">
      <c r="A305" s="1">
        <v>45595</v>
      </c>
      <c r="B305" t="s">
        <v>7</v>
      </c>
      <c r="C305">
        <v>487.12970000000001</v>
      </c>
    </row>
    <row r="306" spans="1:3" x14ac:dyDescent="0.4">
      <c r="A306" s="1">
        <v>45596</v>
      </c>
      <c r="B306" t="s">
        <v>7</v>
      </c>
      <c r="C306">
        <v>487.6705</v>
      </c>
    </row>
    <row r="307" spans="1:3" x14ac:dyDescent="0.4">
      <c r="A307" s="1">
        <v>45597</v>
      </c>
      <c r="B307" t="s">
        <v>7</v>
      </c>
      <c r="C307">
        <v>488.21199999999999</v>
      </c>
    </row>
    <row r="308" spans="1:3" x14ac:dyDescent="0.4">
      <c r="A308" s="1">
        <v>45598</v>
      </c>
      <c r="B308" t="s">
        <v>7</v>
      </c>
      <c r="C308">
        <v>488.75409999999999</v>
      </c>
    </row>
    <row r="309" spans="1:3" x14ac:dyDescent="0.4">
      <c r="A309" s="1">
        <v>45599</v>
      </c>
      <c r="B309" t="s">
        <v>7</v>
      </c>
      <c r="C309">
        <v>489.29680000000002</v>
      </c>
    </row>
    <row r="310" spans="1:3" x14ac:dyDescent="0.4">
      <c r="A310" s="1">
        <v>45600</v>
      </c>
      <c r="B310" t="s">
        <v>7</v>
      </c>
      <c r="C310">
        <v>489.84010000000001</v>
      </c>
    </row>
    <row r="311" spans="1:3" x14ac:dyDescent="0.4">
      <c r="A311" s="1">
        <v>45601</v>
      </c>
      <c r="B311" t="s">
        <v>7</v>
      </c>
      <c r="C311">
        <v>490.38400000000001</v>
      </c>
    </row>
    <row r="312" spans="1:3" x14ac:dyDescent="0.4">
      <c r="A312" s="1">
        <v>45602</v>
      </c>
      <c r="B312" t="s">
        <v>7</v>
      </c>
      <c r="C312">
        <v>490.92840000000001</v>
      </c>
    </row>
    <row r="313" spans="1:3" x14ac:dyDescent="0.4">
      <c r="A313" s="1">
        <v>45603</v>
      </c>
      <c r="B313" t="s">
        <v>7</v>
      </c>
      <c r="C313">
        <v>491.4735</v>
      </c>
    </row>
    <row r="314" spans="1:3" x14ac:dyDescent="0.4">
      <c r="A314" s="1">
        <v>45604</v>
      </c>
      <c r="B314" t="s">
        <v>7</v>
      </c>
      <c r="C314">
        <v>492.01920000000001</v>
      </c>
    </row>
    <row r="315" spans="1:3" x14ac:dyDescent="0.4">
      <c r="A315" s="1">
        <v>45605</v>
      </c>
      <c r="B315" t="s">
        <v>7</v>
      </c>
      <c r="C315">
        <v>492.56560000000002</v>
      </c>
    </row>
    <row r="316" spans="1:3" x14ac:dyDescent="0.4">
      <c r="A316" s="1">
        <v>45606</v>
      </c>
      <c r="B316" t="s">
        <v>7</v>
      </c>
      <c r="C316">
        <v>493.11250000000001</v>
      </c>
    </row>
    <row r="317" spans="1:3" x14ac:dyDescent="0.4">
      <c r="A317" s="1">
        <v>45607</v>
      </c>
      <c r="B317" t="s">
        <v>7</v>
      </c>
      <c r="C317">
        <v>493.66</v>
      </c>
    </row>
    <row r="318" spans="1:3" x14ac:dyDescent="0.4">
      <c r="A318" s="1">
        <v>45608</v>
      </c>
      <c r="B318" t="s">
        <v>7</v>
      </c>
      <c r="C318">
        <v>494.2081</v>
      </c>
    </row>
    <row r="319" spans="1:3" x14ac:dyDescent="0.4">
      <c r="A319" s="1">
        <v>45609</v>
      </c>
      <c r="B319" t="s">
        <v>7</v>
      </c>
      <c r="C319">
        <v>494.75689999999997</v>
      </c>
    </row>
    <row r="320" spans="1:3" x14ac:dyDescent="0.4">
      <c r="A320" s="1">
        <v>45610</v>
      </c>
      <c r="B320" t="s">
        <v>7</v>
      </c>
      <c r="C320">
        <v>495.30619999999999</v>
      </c>
    </row>
    <row r="321" spans="1:3" x14ac:dyDescent="0.4">
      <c r="A321" s="1">
        <v>45611</v>
      </c>
      <c r="B321" t="s">
        <v>7</v>
      </c>
      <c r="C321">
        <v>495.8562</v>
      </c>
    </row>
    <row r="322" spans="1:3" x14ac:dyDescent="0.4">
      <c r="A322" s="1">
        <v>45612</v>
      </c>
      <c r="B322" t="s">
        <v>7</v>
      </c>
      <c r="C322">
        <v>496.29669999999999</v>
      </c>
    </row>
    <row r="323" spans="1:3" x14ac:dyDescent="0.4">
      <c r="A323" s="1">
        <v>45613</v>
      </c>
      <c r="B323" t="s">
        <v>7</v>
      </c>
      <c r="C323">
        <v>496.73770000000002</v>
      </c>
    </row>
    <row r="324" spans="1:3" x14ac:dyDescent="0.4">
      <c r="A324" s="1">
        <v>45614</v>
      </c>
      <c r="B324" t="s">
        <v>7</v>
      </c>
      <c r="C324">
        <v>497.17899999999997</v>
      </c>
    </row>
    <row r="325" spans="1:3" x14ac:dyDescent="0.4">
      <c r="A325" s="1">
        <v>45615</v>
      </c>
      <c r="B325" t="s">
        <v>7</v>
      </c>
      <c r="C325">
        <v>497.6207</v>
      </c>
    </row>
    <row r="326" spans="1:3" x14ac:dyDescent="0.4">
      <c r="A326" s="1">
        <v>45616</v>
      </c>
      <c r="B326" t="s">
        <v>7</v>
      </c>
      <c r="C326">
        <v>498.06279999999998</v>
      </c>
    </row>
    <row r="327" spans="1:3" x14ac:dyDescent="0.4">
      <c r="A327" s="1">
        <v>45617</v>
      </c>
      <c r="B327" t="s">
        <v>7</v>
      </c>
      <c r="C327">
        <v>498.50529999999998</v>
      </c>
    </row>
    <row r="328" spans="1:3" x14ac:dyDescent="0.4">
      <c r="A328" s="1">
        <v>45618</v>
      </c>
      <c r="B328" t="s">
        <v>7</v>
      </c>
      <c r="C328">
        <v>498.94819999999999</v>
      </c>
    </row>
    <row r="329" spans="1:3" x14ac:dyDescent="0.4">
      <c r="A329" s="1">
        <v>45619</v>
      </c>
      <c r="B329" t="s">
        <v>7</v>
      </c>
      <c r="C329">
        <v>499.39150000000001</v>
      </c>
    </row>
    <row r="330" spans="1:3" x14ac:dyDescent="0.4">
      <c r="A330" s="1">
        <v>45620</v>
      </c>
      <c r="B330" t="s">
        <v>7</v>
      </c>
      <c r="C330">
        <v>499.83519999999999</v>
      </c>
    </row>
    <row r="331" spans="1:3" x14ac:dyDescent="0.4">
      <c r="A331" s="1">
        <v>45621</v>
      </c>
      <c r="B331" t="s">
        <v>7</v>
      </c>
      <c r="C331">
        <v>500.27929999999998</v>
      </c>
    </row>
    <row r="332" spans="1:3" x14ac:dyDescent="0.4">
      <c r="A332" s="1">
        <v>45622</v>
      </c>
      <c r="B332" t="s">
        <v>7</v>
      </c>
      <c r="C332">
        <v>500.72379999999998</v>
      </c>
    </row>
    <row r="333" spans="1:3" x14ac:dyDescent="0.4">
      <c r="A333" s="1">
        <v>45623</v>
      </c>
      <c r="B333" t="s">
        <v>7</v>
      </c>
      <c r="C333">
        <v>501.1687</v>
      </c>
    </row>
    <row r="334" spans="1:3" x14ac:dyDescent="0.4">
      <c r="A334" s="1">
        <v>45624</v>
      </c>
      <c r="B334" t="s">
        <v>7</v>
      </c>
      <c r="C334">
        <v>501.6139</v>
      </c>
    </row>
    <row r="335" spans="1:3" x14ac:dyDescent="0.4">
      <c r="A335" s="1">
        <v>45625</v>
      </c>
      <c r="B335" t="s">
        <v>7</v>
      </c>
      <c r="C335">
        <v>502.05959999999999</v>
      </c>
    </row>
    <row r="336" spans="1:3" x14ac:dyDescent="0.4">
      <c r="A336" s="1">
        <v>45626</v>
      </c>
      <c r="B336" t="s">
        <v>7</v>
      </c>
      <c r="C336">
        <v>502.50560000000002</v>
      </c>
    </row>
    <row r="337" spans="1:3" x14ac:dyDescent="0.4">
      <c r="A337" s="1">
        <v>45627</v>
      </c>
      <c r="B337" t="s">
        <v>7</v>
      </c>
      <c r="C337">
        <v>502.95209999999997</v>
      </c>
    </row>
    <row r="338" spans="1:3" x14ac:dyDescent="0.4">
      <c r="A338" s="1">
        <v>45628</v>
      </c>
      <c r="B338" t="s">
        <v>7</v>
      </c>
      <c r="C338">
        <v>503.399</v>
      </c>
    </row>
    <row r="339" spans="1:3" x14ac:dyDescent="0.4">
      <c r="A339" s="1">
        <v>45629</v>
      </c>
      <c r="B339" t="s">
        <v>7</v>
      </c>
      <c r="C339">
        <v>503.84620000000001</v>
      </c>
    </row>
    <row r="340" spans="1:3" x14ac:dyDescent="0.4">
      <c r="A340" s="1">
        <v>45630</v>
      </c>
      <c r="B340" t="s">
        <v>7</v>
      </c>
      <c r="C340">
        <v>504.29379999999998</v>
      </c>
    </row>
    <row r="341" spans="1:3" x14ac:dyDescent="0.4">
      <c r="A341" s="1">
        <v>45631</v>
      </c>
      <c r="B341" t="s">
        <v>7</v>
      </c>
      <c r="C341">
        <v>504.74189999999999</v>
      </c>
    </row>
    <row r="342" spans="1:3" x14ac:dyDescent="0.4">
      <c r="A342" s="1">
        <v>45632</v>
      </c>
      <c r="B342" t="s">
        <v>7</v>
      </c>
      <c r="C342">
        <v>505.19029999999998</v>
      </c>
    </row>
    <row r="343" spans="1:3" x14ac:dyDescent="0.4">
      <c r="A343" s="1">
        <v>45633</v>
      </c>
      <c r="B343" t="s">
        <v>7</v>
      </c>
      <c r="C343">
        <v>505.63920000000002</v>
      </c>
    </row>
    <row r="344" spans="1:3" x14ac:dyDescent="0.4">
      <c r="A344" s="1">
        <v>45634</v>
      </c>
      <c r="B344" t="s">
        <v>7</v>
      </c>
      <c r="C344">
        <v>506.08839999999998</v>
      </c>
    </row>
    <row r="345" spans="1:3" x14ac:dyDescent="0.4">
      <c r="A345" s="1">
        <v>45635</v>
      </c>
      <c r="B345" t="s">
        <v>7</v>
      </c>
      <c r="C345">
        <v>506.53809999999999</v>
      </c>
    </row>
    <row r="346" spans="1:3" x14ac:dyDescent="0.4">
      <c r="A346" s="1">
        <v>45636</v>
      </c>
      <c r="B346" t="s">
        <v>7</v>
      </c>
      <c r="C346">
        <v>506.98809999999997</v>
      </c>
    </row>
    <row r="347" spans="1:3" x14ac:dyDescent="0.4">
      <c r="A347" s="1">
        <v>45637</v>
      </c>
      <c r="B347" t="s">
        <v>7</v>
      </c>
      <c r="C347">
        <v>507.43849999999998</v>
      </c>
    </row>
    <row r="348" spans="1:3" x14ac:dyDescent="0.4">
      <c r="A348" s="1">
        <v>45638</v>
      </c>
      <c r="B348" t="s">
        <v>7</v>
      </c>
      <c r="C348">
        <v>507.88940000000002</v>
      </c>
    </row>
    <row r="349" spans="1:3" x14ac:dyDescent="0.4">
      <c r="A349" s="1">
        <v>45639</v>
      </c>
      <c r="B349" t="s">
        <v>7</v>
      </c>
      <c r="C349">
        <v>508.34059999999999</v>
      </c>
    </row>
    <row r="350" spans="1:3" x14ac:dyDescent="0.4">
      <c r="A350" s="1">
        <v>45640</v>
      </c>
      <c r="B350" t="s">
        <v>7</v>
      </c>
      <c r="C350">
        <v>508.79219999999998</v>
      </c>
    </row>
    <row r="351" spans="1:3" x14ac:dyDescent="0.4">
      <c r="A351" s="1">
        <v>45641</v>
      </c>
      <c r="B351" t="s">
        <v>7</v>
      </c>
      <c r="C351">
        <v>509.24430000000001</v>
      </c>
    </row>
    <row r="352" spans="1:3" x14ac:dyDescent="0.4">
      <c r="A352" s="1">
        <v>45642</v>
      </c>
      <c r="B352" t="s">
        <v>7</v>
      </c>
      <c r="C352">
        <v>509.63400000000001</v>
      </c>
    </row>
    <row r="353" spans="1:3" x14ac:dyDescent="0.4">
      <c r="A353" s="1">
        <v>45643</v>
      </c>
      <c r="B353" t="s">
        <v>7</v>
      </c>
      <c r="C353">
        <v>510.02409999999998</v>
      </c>
    </row>
    <row r="354" spans="1:3" x14ac:dyDescent="0.4">
      <c r="A354" s="1">
        <v>45644</v>
      </c>
      <c r="B354" t="s">
        <v>7</v>
      </c>
      <c r="C354">
        <v>510.4144</v>
      </c>
    </row>
    <row r="355" spans="1:3" x14ac:dyDescent="0.4">
      <c r="A355" s="1">
        <v>45645</v>
      </c>
      <c r="B355" t="s">
        <v>7</v>
      </c>
      <c r="C355">
        <v>510.80509999999998</v>
      </c>
    </row>
    <row r="356" spans="1:3" x14ac:dyDescent="0.4">
      <c r="A356" s="1">
        <v>45646</v>
      </c>
      <c r="B356" t="s">
        <v>7</v>
      </c>
      <c r="C356">
        <v>511.19600000000003</v>
      </c>
    </row>
    <row r="357" spans="1:3" x14ac:dyDescent="0.4">
      <c r="A357" s="1">
        <v>45647</v>
      </c>
      <c r="B357" t="s">
        <v>7</v>
      </c>
      <c r="C357">
        <v>511.5872</v>
      </c>
    </row>
    <row r="358" spans="1:3" x14ac:dyDescent="0.4">
      <c r="A358" s="1">
        <v>45648</v>
      </c>
      <c r="B358" t="s">
        <v>7</v>
      </c>
      <c r="C358">
        <v>511.97879999999998</v>
      </c>
    </row>
    <row r="359" spans="1:3" x14ac:dyDescent="0.4">
      <c r="A359" s="1">
        <v>45649</v>
      </c>
      <c r="B359" t="s">
        <v>7</v>
      </c>
      <c r="C359">
        <v>512.37059999999997</v>
      </c>
    </row>
    <row r="360" spans="1:3" x14ac:dyDescent="0.4">
      <c r="A360" s="1">
        <v>45650</v>
      </c>
      <c r="B360" t="s">
        <v>7</v>
      </c>
      <c r="C360">
        <v>512.76279999999997</v>
      </c>
    </row>
    <row r="361" spans="1:3" x14ac:dyDescent="0.4">
      <c r="A361" s="1">
        <v>45651</v>
      </c>
      <c r="B361" t="s">
        <v>7</v>
      </c>
      <c r="C361">
        <v>513.15520000000004</v>
      </c>
    </row>
    <row r="362" spans="1:3" x14ac:dyDescent="0.4">
      <c r="A362" s="1">
        <v>45652</v>
      </c>
      <c r="B362" t="s">
        <v>7</v>
      </c>
      <c r="C362">
        <v>513.54790000000003</v>
      </c>
    </row>
    <row r="363" spans="1:3" x14ac:dyDescent="0.4">
      <c r="A363" s="1">
        <v>45653</v>
      </c>
      <c r="B363" t="s">
        <v>7</v>
      </c>
      <c r="C363">
        <v>513.94100000000003</v>
      </c>
    </row>
    <row r="364" spans="1:3" x14ac:dyDescent="0.4">
      <c r="A364" s="1">
        <v>45654</v>
      </c>
      <c r="B364" t="s">
        <v>7</v>
      </c>
      <c r="C364">
        <v>514.33429999999998</v>
      </c>
    </row>
    <row r="365" spans="1:3" x14ac:dyDescent="0.4">
      <c r="A365" s="1">
        <v>45655</v>
      </c>
      <c r="B365" t="s">
        <v>7</v>
      </c>
      <c r="C365">
        <v>514.72799999999995</v>
      </c>
    </row>
    <row r="366" spans="1:3" x14ac:dyDescent="0.4">
      <c r="A366" s="1">
        <v>45656</v>
      </c>
      <c r="B366" t="s">
        <v>7</v>
      </c>
      <c r="C366">
        <v>515.12189999999998</v>
      </c>
    </row>
    <row r="367" spans="1:3" x14ac:dyDescent="0.4">
      <c r="A367" s="1">
        <v>45657</v>
      </c>
      <c r="B367" t="s">
        <v>7</v>
      </c>
      <c r="C367">
        <v>515.51610000000005</v>
      </c>
    </row>
    <row r="368" spans="1:3" x14ac:dyDescent="0.4">
      <c r="A368" s="1">
        <v>45658</v>
      </c>
      <c r="B368" t="s">
        <v>7</v>
      </c>
      <c r="C368">
        <v>515.91069192995883</v>
      </c>
    </row>
    <row r="369" spans="1:3" x14ac:dyDescent="0.4">
      <c r="A369" s="1">
        <v>45659</v>
      </c>
      <c r="B369" t="s">
        <v>7</v>
      </c>
      <c r="C369">
        <v>516.30554003554255</v>
      </c>
    </row>
    <row r="370" spans="1:3" x14ac:dyDescent="0.4">
      <c r="A370" s="1">
        <v>45660</v>
      </c>
      <c r="B370" t="s">
        <v>7</v>
      </c>
      <c r="C370">
        <v>516.70069033495349</v>
      </c>
    </row>
    <row r="371" spans="1:3" x14ac:dyDescent="0.4">
      <c r="A371" s="1">
        <v>45661</v>
      </c>
      <c r="B371" t="s">
        <v>7</v>
      </c>
      <c r="C371">
        <v>517.09614305947321</v>
      </c>
    </row>
    <row r="372" spans="1:3" x14ac:dyDescent="0.4">
      <c r="A372" s="1">
        <v>45662</v>
      </c>
      <c r="B372" t="s">
        <v>7</v>
      </c>
      <c r="C372">
        <v>517.49189844056036</v>
      </c>
    </row>
    <row r="373" spans="1:3" x14ac:dyDescent="0.4">
      <c r="A373" s="1">
        <v>45663</v>
      </c>
      <c r="B373" t="s">
        <v>7</v>
      </c>
      <c r="C373">
        <v>517.88795670985076</v>
      </c>
    </row>
    <row r="374" spans="1:3" x14ac:dyDescent="0.4">
      <c r="A374" s="1">
        <v>45664</v>
      </c>
      <c r="B374" t="s">
        <v>7</v>
      </c>
      <c r="C374">
        <v>518.28431809915742</v>
      </c>
    </row>
    <row r="375" spans="1:3" x14ac:dyDescent="0.4">
      <c r="A375" s="1">
        <v>45665</v>
      </c>
      <c r="B375" t="s">
        <v>7</v>
      </c>
      <c r="C375">
        <v>518.68098284047085</v>
      </c>
    </row>
    <row r="376" spans="1:3" x14ac:dyDescent="0.4">
      <c r="A376" s="1">
        <v>45666</v>
      </c>
      <c r="B376" t="s">
        <v>7</v>
      </c>
      <c r="C376">
        <v>519.07795116595901</v>
      </c>
    </row>
    <row r="377" spans="1:3" x14ac:dyDescent="0.4">
      <c r="A377" s="1">
        <v>45667</v>
      </c>
      <c r="B377" t="s">
        <v>7</v>
      </c>
      <c r="C377">
        <v>519.47522330796767</v>
      </c>
    </row>
    <row r="378" spans="1:3" x14ac:dyDescent="0.4">
      <c r="A378" s="1">
        <v>45668</v>
      </c>
      <c r="B378" t="s">
        <v>7</v>
      </c>
      <c r="C378">
        <v>519.87279949902029</v>
      </c>
    </row>
    <row r="379" spans="1:3" x14ac:dyDescent="0.4">
      <c r="A379" s="1">
        <v>45669</v>
      </c>
      <c r="B379" t="s">
        <v>7</v>
      </c>
      <c r="C379">
        <v>520.27067997181848</v>
      </c>
    </row>
    <row r="380" spans="1:3" x14ac:dyDescent="0.4">
      <c r="A380" s="1">
        <v>45670</v>
      </c>
      <c r="B380" t="s">
        <v>7</v>
      </c>
      <c r="C380">
        <v>520.66886495924177</v>
      </c>
    </row>
    <row r="381" spans="1:3" x14ac:dyDescent="0.4">
      <c r="A381" s="1">
        <v>45671</v>
      </c>
      <c r="B381" t="s">
        <v>7</v>
      </c>
      <c r="C381">
        <v>521.06735469434796</v>
      </c>
    </row>
    <row r="382" spans="1:3" x14ac:dyDescent="0.4">
      <c r="A382" s="1">
        <v>45672</v>
      </c>
      <c r="B382" t="s">
        <v>7</v>
      </c>
      <c r="C382">
        <v>521.46614941037319</v>
      </c>
    </row>
    <row r="383" spans="1:3" x14ac:dyDescent="0.4">
      <c r="A383" s="1">
        <v>45673</v>
      </c>
      <c r="B383" t="s">
        <v>7</v>
      </c>
      <c r="C383">
        <v>521.91449898254052</v>
      </c>
    </row>
    <row r="384" spans="1:3" x14ac:dyDescent="0.4">
      <c r="A384" s="1">
        <v>45674</v>
      </c>
      <c r="B384" t="s">
        <v>7</v>
      </c>
      <c r="C384">
        <v>522.36323403963161</v>
      </c>
    </row>
    <row r="385" spans="1:3" x14ac:dyDescent="0.4">
      <c r="A385" s="1">
        <v>45675</v>
      </c>
      <c r="B385" t="s">
        <v>7</v>
      </c>
      <c r="C385">
        <v>522.81235491308121</v>
      </c>
    </row>
    <row r="386" spans="1:3" x14ac:dyDescent="0.4">
      <c r="A386" s="1">
        <v>45676</v>
      </c>
      <c r="B386" t="s">
        <v>7</v>
      </c>
      <c r="C386">
        <v>523.2618619346091</v>
      </c>
    </row>
    <row r="387" spans="1:3" x14ac:dyDescent="0.4">
      <c r="A387" s="1">
        <v>45677</v>
      </c>
      <c r="B387" t="s">
        <v>7</v>
      </c>
      <c r="C387">
        <v>523.71175543622019</v>
      </c>
    </row>
    <row r="388" spans="1:3" x14ac:dyDescent="0.4">
      <c r="A388" s="1">
        <v>45678</v>
      </c>
      <c r="B388" t="s">
        <v>7</v>
      </c>
      <c r="C388">
        <v>524.16203575020472</v>
      </c>
    </row>
    <row r="389" spans="1:3" x14ac:dyDescent="0.4">
      <c r="A389" s="1">
        <v>45679</v>
      </c>
      <c r="B389" t="s">
        <v>7</v>
      </c>
      <c r="C389">
        <v>524.61270320913889</v>
      </c>
    </row>
    <row r="390" spans="1:3" x14ac:dyDescent="0.4">
      <c r="A390" s="1">
        <v>45680</v>
      </c>
      <c r="B390" t="s">
        <v>7</v>
      </c>
      <c r="C390">
        <v>525.06375814588466</v>
      </c>
    </row>
    <row r="391" spans="1:3" x14ac:dyDescent="0.4">
      <c r="A391" s="1">
        <v>45681</v>
      </c>
      <c r="B391" t="s">
        <v>7</v>
      </c>
      <c r="C391">
        <v>525.5152008935903</v>
      </c>
    </row>
    <row r="392" spans="1:3" x14ac:dyDescent="0.4">
      <c r="A392" s="1">
        <v>45682</v>
      </c>
      <c r="B392" t="s">
        <v>7</v>
      </c>
      <c r="C392">
        <v>525.96703178569032</v>
      </c>
    </row>
    <row r="393" spans="1:3" x14ac:dyDescent="0.4">
      <c r="A393" s="1">
        <v>45683</v>
      </c>
      <c r="B393" t="s">
        <v>7</v>
      </c>
      <c r="C393">
        <v>526.41925115590618</v>
      </c>
    </row>
    <row r="394" spans="1:3" x14ac:dyDescent="0.4">
      <c r="A394" s="1">
        <v>45684</v>
      </c>
      <c r="B394" t="s">
        <v>7</v>
      </c>
      <c r="C394">
        <v>526.87185933824605</v>
      </c>
    </row>
    <row r="395" spans="1:3" x14ac:dyDescent="0.4">
      <c r="A395" s="1">
        <v>45685</v>
      </c>
      <c r="B395" t="s">
        <v>7</v>
      </c>
      <c r="C395">
        <v>527.32485666700541</v>
      </c>
    </row>
    <row r="396" spans="1:3" x14ac:dyDescent="0.4">
      <c r="A396" s="1">
        <v>45686</v>
      </c>
      <c r="B396" t="s">
        <v>7</v>
      </c>
      <c r="C396">
        <v>527.77824347676699</v>
      </c>
    </row>
    <row r="397" spans="1:3" x14ac:dyDescent="0.4">
      <c r="A397" s="1">
        <v>45687</v>
      </c>
      <c r="B397" t="s">
        <v>7</v>
      </c>
      <c r="C397">
        <v>528.23202010240141</v>
      </c>
    </row>
    <row r="398" spans="1:3" x14ac:dyDescent="0.4">
      <c r="A398" s="1">
        <v>45688</v>
      </c>
      <c r="B398" t="s">
        <v>7</v>
      </c>
      <c r="C398">
        <v>528.68618687906712</v>
      </c>
    </row>
    <row r="399" spans="1:3" x14ac:dyDescent="0.4">
      <c r="A399" s="1">
        <v>45689</v>
      </c>
      <c r="B399" t="s">
        <v>7</v>
      </c>
      <c r="C399">
        <v>529.14074414221068</v>
      </c>
    </row>
    <row r="400" spans="1:3" x14ac:dyDescent="0.4">
      <c r="A400" s="1">
        <v>45690</v>
      </c>
      <c r="B400" t="s">
        <v>7</v>
      </c>
      <c r="C400">
        <v>529.59569222756716</v>
      </c>
    </row>
    <row r="401" spans="1:3" x14ac:dyDescent="0.4">
      <c r="A401" s="1">
        <v>45691</v>
      </c>
      <c r="B401" t="s">
        <v>7</v>
      </c>
      <c r="C401">
        <v>530.05103147116017</v>
      </c>
    </row>
    <row r="402" spans="1:3" x14ac:dyDescent="0.4">
      <c r="A402" s="1">
        <v>45692</v>
      </c>
      <c r="B402" t="s">
        <v>7</v>
      </c>
      <c r="C402">
        <v>530.50676220930234</v>
      </c>
    </row>
    <row r="403" spans="1:3" x14ac:dyDescent="0.4">
      <c r="A403" s="1">
        <v>45693</v>
      </c>
      <c r="B403" t="s">
        <v>7</v>
      </c>
      <c r="C403">
        <v>530.96288477859537</v>
      </c>
    </row>
    <row r="404" spans="1:3" x14ac:dyDescent="0.4">
      <c r="A404" s="1">
        <v>45694</v>
      </c>
      <c r="B404" t="s">
        <v>7</v>
      </c>
      <c r="C404">
        <v>531.41939951593042</v>
      </c>
    </row>
    <row r="405" spans="1:3" x14ac:dyDescent="0.4">
      <c r="A405" s="1">
        <v>45695</v>
      </c>
      <c r="B405" t="s">
        <v>7</v>
      </c>
      <c r="C405">
        <v>531.87630675848834</v>
      </c>
    </row>
    <row r="406" spans="1:3" x14ac:dyDescent="0.4">
      <c r="A406" s="1">
        <v>45696</v>
      </c>
      <c r="B406" t="s">
        <v>7</v>
      </c>
      <c r="C406">
        <v>532.33360684373974</v>
      </c>
    </row>
    <row r="407" spans="1:3" x14ac:dyDescent="0.4">
      <c r="A407" s="1">
        <v>45697</v>
      </c>
      <c r="B407" t="s">
        <v>7</v>
      </c>
      <c r="C407">
        <v>532.79130010944561</v>
      </c>
    </row>
    <row r="408" spans="1:3" x14ac:dyDescent="0.4">
      <c r="A408" s="1">
        <v>45698</v>
      </c>
      <c r="B408" t="s">
        <v>7</v>
      </c>
      <c r="C408">
        <v>533.24938689365706</v>
      </c>
    </row>
    <row r="409" spans="1:3" x14ac:dyDescent="0.4">
      <c r="A409" s="1">
        <v>45699</v>
      </c>
      <c r="B409" t="s">
        <v>7</v>
      </c>
      <c r="C409">
        <v>533.70786753471612</v>
      </c>
    </row>
    <row r="410" spans="1:3" x14ac:dyDescent="0.4">
      <c r="A410" s="1">
        <v>45700</v>
      </c>
      <c r="B410" t="s">
        <v>7</v>
      </c>
      <c r="C410">
        <v>534.16674237125551</v>
      </c>
    </row>
    <row r="411" spans="1:3" x14ac:dyDescent="0.4">
      <c r="A411" s="1">
        <v>45701</v>
      </c>
      <c r="B411" t="s">
        <v>7</v>
      </c>
      <c r="C411">
        <v>534.62601174219924</v>
      </c>
    </row>
    <row r="412" spans="1:3" x14ac:dyDescent="0.4">
      <c r="A412" s="1">
        <v>45702</v>
      </c>
      <c r="B412" t="s">
        <v>7</v>
      </c>
      <c r="C412">
        <v>535.08567598676268</v>
      </c>
    </row>
    <row r="413" spans="1:3" x14ac:dyDescent="0.4">
      <c r="A413" s="1">
        <v>45703</v>
      </c>
      <c r="B413" t="s">
        <v>7</v>
      </c>
      <c r="C413">
        <v>535.54573544445282</v>
      </c>
    </row>
    <row r="414" spans="1:3" x14ac:dyDescent="0.4">
      <c r="A414" s="1">
        <v>45704</v>
      </c>
      <c r="B414" t="s">
        <v>7</v>
      </c>
      <c r="C414">
        <v>535.96212130596678</v>
      </c>
    </row>
    <row r="415" spans="1:3" x14ac:dyDescent="0.4">
      <c r="A415" s="1">
        <v>45705</v>
      </c>
      <c r="B415" t="s">
        <v>7</v>
      </c>
      <c r="C415">
        <v>536.3788309067512</v>
      </c>
    </row>
    <row r="416" spans="1:3" x14ac:dyDescent="0.4">
      <c r="A416" s="1">
        <v>45706</v>
      </c>
      <c r="B416" t="s">
        <v>7</v>
      </c>
      <c r="C416">
        <v>536.79586449851274</v>
      </c>
    </row>
    <row r="417" spans="1:3" x14ac:dyDescent="0.4">
      <c r="A417" s="1">
        <v>45707</v>
      </c>
      <c r="B417" t="s">
        <v>7</v>
      </c>
      <c r="C417">
        <v>537.21322233315379</v>
      </c>
    </row>
    <row r="418" spans="1:3" x14ac:dyDescent="0.4">
      <c r="A418" s="1">
        <v>45708</v>
      </c>
      <c r="B418" t="s">
        <v>7</v>
      </c>
      <c r="C418">
        <v>537.63090466277265</v>
      </c>
    </row>
    <row r="419" spans="1:3" x14ac:dyDescent="0.4">
      <c r="A419" s="1">
        <v>45709</v>
      </c>
      <c r="B419" t="s">
        <v>7</v>
      </c>
      <c r="C419">
        <v>538.04891173966359</v>
      </c>
    </row>
    <row r="420" spans="1:3" x14ac:dyDescent="0.4">
      <c r="A420" s="1">
        <v>45710</v>
      </c>
      <c r="B420" t="s">
        <v>7</v>
      </c>
      <c r="C420">
        <v>538.46724381631702</v>
      </c>
    </row>
    <row r="421" spans="1:3" x14ac:dyDescent="0.4">
      <c r="A421" s="1">
        <v>45711</v>
      </c>
      <c r="B421" t="s">
        <v>7</v>
      </c>
      <c r="C421">
        <v>538.88590114541967</v>
      </c>
    </row>
    <row r="422" spans="1:3" x14ac:dyDescent="0.4">
      <c r="A422" s="1">
        <v>45712</v>
      </c>
      <c r="B422" t="s">
        <v>7</v>
      </c>
      <c r="C422">
        <v>539.30488397985482</v>
      </c>
    </row>
    <row r="423" spans="1:3" x14ac:dyDescent="0.4">
      <c r="A423" s="1">
        <v>45713</v>
      </c>
      <c r="B423" t="s">
        <v>7</v>
      </c>
      <c r="C423">
        <v>539.72419257270224</v>
      </c>
    </row>
    <row r="424" spans="1:3" x14ac:dyDescent="0.4">
      <c r="A424" s="1">
        <v>45714</v>
      </c>
      <c r="B424" t="s">
        <v>7</v>
      </c>
      <c r="C424">
        <v>540.14382717723845</v>
      </c>
    </row>
    <row r="425" spans="1:3" x14ac:dyDescent="0.4">
      <c r="A425" s="1">
        <v>45715</v>
      </c>
      <c r="B425" t="s">
        <v>7</v>
      </c>
      <c r="C425">
        <v>540.56378804693713</v>
      </c>
    </row>
    <row r="426" spans="1:3" x14ac:dyDescent="0.4">
      <c r="A426" s="1">
        <v>45716</v>
      </c>
      <c r="B426" t="s">
        <v>7</v>
      </c>
      <c r="C426">
        <v>540.98407543546875</v>
      </c>
    </row>
    <row r="427" spans="1:3" x14ac:dyDescent="0.4">
      <c r="A427" s="1">
        <v>45717</v>
      </c>
      <c r="B427" t="s">
        <v>7</v>
      </c>
      <c r="C427">
        <v>541.40468959670113</v>
      </c>
    </row>
    <row r="428" spans="1:3" x14ac:dyDescent="0.4">
      <c r="A428" s="1">
        <v>45718</v>
      </c>
      <c r="B428" t="s">
        <v>7</v>
      </c>
      <c r="C428">
        <v>541.82563078469946</v>
      </c>
    </row>
    <row r="429" spans="1:3" x14ac:dyDescent="0.4">
      <c r="A429" s="1">
        <v>45719</v>
      </c>
      <c r="B429" t="s">
        <v>7</v>
      </c>
      <c r="C429">
        <v>542.2468992537265</v>
      </c>
    </row>
    <row r="430" spans="1:3" x14ac:dyDescent="0.4">
      <c r="A430" s="1">
        <v>45720</v>
      </c>
      <c r="B430" t="s">
        <v>7</v>
      </c>
      <c r="C430">
        <v>542.66849525824261</v>
      </c>
    </row>
    <row r="431" spans="1:3" x14ac:dyDescent="0.4">
      <c r="A431" s="1">
        <v>45721</v>
      </c>
      <c r="B431" t="s">
        <v>7</v>
      </c>
      <c r="C431">
        <v>543.0904190529061</v>
      </c>
    </row>
    <row r="432" spans="1:3" x14ac:dyDescent="0.4">
      <c r="A432" s="1">
        <v>45722</v>
      </c>
      <c r="B432" t="s">
        <v>7</v>
      </c>
      <c r="C432">
        <v>543.51267089257328</v>
      </c>
    </row>
    <row r="433" spans="1:3" x14ac:dyDescent="0.4">
      <c r="A433" s="1">
        <v>45723</v>
      </c>
      <c r="B433" t="s">
        <v>7</v>
      </c>
      <c r="C433">
        <v>543.93525103229854</v>
      </c>
    </row>
    <row r="434" spans="1:3" x14ac:dyDescent="0.4">
      <c r="A434" s="1">
        <v>45724</v>
      </c>
      <c r="B434" t="s">
        <v>7</v>
      </c>
      <c r="C434">
        <v>544.35815972733451</v>
      </c>
    </row>
    <row r="435" spans="1:3" x14ac:dyDescent="0.4">
      <c r="A435" s="1">
        <v>45725</v>
      </c>
      <c r="B435" t="s">
        <v>7</v>
      </c>
      <c r="C435">
        <v>544.78139723313245</v>
      </c>
    </row>
    <row r="436" spans="1:3" x14ac:dyDescent="0.4">
      <c r="A436" s="1">
        <v>45726</v>
      </c>
      <c r="B436" t="s">
        <v>7</v>
      </c>
      <c r="C436">
        <v>545.20496380534212</v>
      </c>
    </row>
    <row r="437" spans="1:3" x14ac:dyDescent="0.4">
      <c r="A437" s="1">
        <v>45727</v>
      </c>
      <c r="B437" t="s">
        <v>7</v>
      </c>
      <c r="C437">
        <v>545.6288596998121</v>
      </c>
    </row>
    <row r="438" spans="1:3" x14ac:dyDescent="0.4">
      <c r="A438" s="1">
        <v>45728</v>
      </c>
      <c r="B438" t="s">
        <v>7</v>
      </c>
      <c r="C438">
        <v>546.05308517258982</v>
      </c>
    </row>
    <row r="439" spans="1:3" x14ac:dyDescent="0.4">
      <c r="A439" s="1">
        <v>45729</v>
      </c>
      <c r="B439" t="s">
        <v>7</v>
      </c>
      <c r="C439">
        <v>546.47764047992177</v>
      </c>
    </row>
    <row r="440" spans="1:3" x14ac:dyDescent="0.4">
      <c r="A440" s="1">
        <v>45730</v>
      </c>
      <c r="B440" t="s">
        <v>7</v>
      </c>
      <c r="C440">
        <v>546.90252587825387</v>
      </c>
    </row>
    <row r="441" spans="1:3" x14ac:dyDescent="0.4">
      <c r="A441" s="1">
        <v>45731</v>
      </c>
      <c r="B441" t="s">
        <v>7</v>
      </c>
      <c r="C441">
        <v>547.32774162423118</v>
      </c>
    </row>
    <row r="442" spans="1:3" x14ac:dyDescent="0.4">
      <c r="A442" s="1">
        <v>45732</v>
      </c>
      <c r="B442" t="s">
        <v>7</v>
      </c>
      <c r="C442">
        <v>547.74663451653646</v>
      </c>
    </row>
    <row r="443" spans="1:3" x14ac:dyDescent="0.4">
      <c r="A443" s="1">
        <v>45733</v>
      </c>
      <c r="B443" t="s">
        <v>7</v>
      </c>
      <c r="C443">
        <v>548.16584800515341</v>
      </c>
    </row>
    <row r="444" spans="1:3" x14ac:dyDescent="0.4">
      <c r="A444" s="1">
        <v>45734</v>
      </c>
      <c r="B444" t="s">
        <v>7</v>
      </c>
      <c r="C444">
        <v>548.58538233544778</v>
      </c>
    </row>
    <row r="445" spans="1:3" x14ac:dyDescent="0.4">
      <c r="A445" s="1">
        <v>45735</v>
      </c>
      <c r="B445" t="s">
        <v>7</v>
      </c>
      <c r="C445">
        <v>549.00523775297324</v>
      </c>
    </row>
    <row r="446" spans="1:3" x14ac:dyDescent="0.4">
      <c r="A446" s="1">
        <v>45736</v>
      </c>
      <c r="B446" t="s">
        <v>7</v>
      </c>
      <c r="C446">
        <v>549.4254145034713</v>
      </c>
    </row>
    <row r="447" spans="1:3" x14ac:dyDescent="0.4">
      <c r="A447" s="1">
        <v>45737</v>
      </c>
      <c r="B447" t="s">
        <v>7</v>
      </c>
      <c r="C447">
        <v>549.84591283287159</v>
      </c>
    </row>
    <row r="448" spans="1:3" x14ac:dyDescent="0.4">
      <c r="A448" s="1">
        <v>45738</v>
      </c>
      <c r="B448" t="s">
        <v>7</v>
      </c>
      <c r="C448">
        <v>550.2667329872919</v>
      </c>
    </row>
    <row r="449" spans="1:3" x14ac:dyDescent="0.4">
      <c r="A449" s="1">
        <v>45739</v>
      </c>
      <c r="B449" t="s">
        <v>7</v>
      </c>
      <c r="C449">
        <v>550.68787521303841</v>
      </c>
    </row>
    <row r="450" spans="1:3" x14ac:dyDescent="0.4">
      <c r="A450" s="1">
        <v>45740</v>
      </c>
      <c r="B450" t="s">
        <v>7</v>
      </c>
      <c r="C450">
        <v>551.10933975660589</v>
      </c>
    </row>
    <row r="451" spans="1:3" x14ac:dyDescent="0.4">
      <c r="A451" s="1">
        <v>45741</v>
      </c>
      <c r="B451" t="s">
        <v>7</v>
      </c>
      <c r="C451">
        <v>551.53112686467762</v>
      </c>
    </row>
    <row r="452" spans="1:3" x14ac:dyDescent="0.4">
      <c r="A452" s="1">
        <v>45742</v>
      </c>
      <c r="B452" t="s">
        <v>7</v>
      </c>
      <c r="C452">
        <v>551.95323678412581</v>
      </c>
    </row>
    <row r="453" spans="1:3" x14ac:dyDescent="0.4">
      <c r="A453" s="1">
        <v>45743</v>
      </c>
      <c r="B453" t="s">
        <v>7</v>
      </c>
      <c r="C453">
        <v>552.37566976201151</v>
      </c>
    </row>
    <row r="454" spans="1:3" x14ac:dyDescent="0.4">
      <c r="A454" s="1">
        <v>45744</v>
      </c>
      <c r="B454" t="s">
        <v>7</v>
      </c>
      <c r="C454">
        <v>552.79842604558496</v>
      </c>
    </row>
    <row r="455" spans="1:3" x14ac:dyDescent="0.4">
      <c r="A455" s="1">
        <v>45745</v>
      </c>
      <c r="B455" t="s">
        <v>7</v>
      </c>
      <c r="C455">
        <v>553.22150588228544</v>
      </c>
    </row>
    <row r="456" spans="1:3" x14ac:dyDescent="0.4">
      <c r="A456" s="1">
        <v>45746</v>
      </c>
      <c r="B456" t="s">
        <v>7</v>
      </c>
      <c r="C456">
        <v>553.64490951974187</v>
      </c>
    </row>
    <row r="457" spans="1:3" x14ac:dyDescent="0.4">
      <c r="A457" s="1">
        <v>45747</v>
      </c>
      <c r="B457" t="s">
        <v>7</v>
      </c>
      <c r="C457">
        <v>554.06863720577257</v>
      </c>
    </row>
    <row r="458" spans="1:3" x14ac:dyDescent="0.4">
      <c r="A458" s="1">
        <v>45748</v>
      </c>
      <c r="B458" t="s">
        <v>7</v>
      </c>
      <c r="C458">
        <v>554.4926891883855</v>
      </c>
    </row>
    <row r="459" spans="1:3" x14ac:dyDescent="0.4">
      <c r="A459" s="1">
        <v>45749</v>
      </c>
      <c r="B459" t="s">
        <v>7</v>
      </c>
      <c r="C459">
        <v>554.91706571577834</v>
      </c>
    </row>
    <row r="460" spans="1:3" x14ac:dyDescent="0.4">
      <c r="A460" s="1">
        <v>45750</v>
      </c>
      <c r="B460" t="s">
        <v>7</v>
      </c>
      <c r="C460">
        <v>555.34176703633887</v>
      </c>
    </row>
    <row r="461" spans="1:3" x14ac:dyDescent="0.4">
      <c r="A461" s="1">
        <v>45751</v>
      </c>
      <c r="B461" t="s">
        <v>7</v>
      </c>
      <c r="C461">
        <v>555.76679339864506</v>
      </c>
    </row>
    <row r="462" spans="1:3" x14ac:dyDescent="0.4">
      <c r="A462" s="1">
        <v>45752</v>
      </c>
      <c r="B462" t="s">
        <v>7</v>
      </c>
      <c r="C462">
        <v>556.19214505146488</v>
      </c>
    </row>
    <row r="463" spans="1:3" x14ac:dyDescent="0.4">
      <c r="A463" s="1">
        <v>45753</v>
      </c>
      <c r="B463" t="s">
        <v>7</v>
      </c>
      <c r="C463">
        <v>556.61782224375679</v>
      </c>
    </row>
    <row r="464" spans="1:3" x14ac:dyDescent="0.4">
      <c r="A464" s="1">
        <v>45754</v>
      </c>
      <c r="B464" t="s">
        <v>7</v>
      </c>
      <c r="C464">
        <v>557.04382522466994</v>
      </c>
    </row>
    <row r="465" spans="1:3" x14ac:dyDescent="0.4">
      <c r="A465" s="1">
        <v>45755</v>
      </c>
      <c r="B465" t="s">
        <v>7</v>
      </c>
      <c r="C465">
        <v>557.4701542435439</v>
      </c>
    </row>
    <row r="466" spans="1:3" x14ac:dyDescent="0.4">
      <c r="A466" s="1">
        <v>45756</v>
      </c>
      <c r="B466" t="s">
        <v>7</v>
      </c>
      <c r="C466">
        <v>557.89680954990934</v>
      </c>
    </row>
    <row r="467" spans="1:3" x14ac:dyDescent="0.4">
      <c r="A467" s="1">
        <v>45757</v>
      </c>
      <c r="B467" t="s">
        <v>7</v>
      </c>
      <c r="C467">
        <v>558.32379139348768</v>
      </c>
    </row>
    <row r="468" spans="1:3" x14ac:dyDescent="0.4">
      <c r="A468" s="1">
        <v>45758</v>
      </c>
      <c r="B468" t="s">
        <v>7</v>
      </c>
      <c r="C468">
        <v>558.75110002419149</v>
      </c>
    </row>
    <row r="469" spans="1:3" x14ac:dyDescent="0.4">
      <c r="A469" s="1">
        <v>45759</v>
      </c>
      <c r="B469" t="s">
        <v>7</v>
      </c>
      <c r="C469">
        <v>559.17873569212475</v>
      </c>
    </row>
    <row r="470" spans="1:3" x14ac:dyDescent="0.4">
      <c r="A470" s="1">
        <v>45760</v>
      </c>
      <c r="B470" t="s">
        <v>7</v>
      </c>
      <c r="C470">
        <v>559.60669864758279</v>
      </c>
    </row>
    <row r="471" spans="1:3" x14ac:dyDescent="0.4">
      <c r="A471" s="1">
        <v>45761</v>
      </c>
      <c r="B471" t="s">
        <v>7</v>
      </c>
      <c r="C471">
        <v>560.03498914105251</v>
      </c>
    </row>
    <row r="472" spans="1:3" x14ac:dyDescent="0.4">
      <c r="A472" s="1">
        <v>45762</v>
      </c>
      <c r="B472" t="s">
        <v>7</v>
      </c>
      <c r="C472">
        <v>560.46360742321247</v>
      </c>
    </row>
    <row r="473" spans="1:3" x14ac:dyDescent="0.4">
      <c r="A473" s="1">
        <v>45763</v>
      </c>
      <c r="B473" t="s">
        <v>7</v>
      </c>
      <c r="C473">
        <v>561.1427760696771</v>
      </c>
    </row>
    <row r="474" spans="1:3" x14ac:dyDescent="0.4">
      <c r="A474" s="1">
        <v>45764</v>
      </c>
      <c r="B474" t="s">
        <v>7</v>
      </c>
      <c r="C474">
        <v>561.82276773131036</v>
      </c>
    </row>
    <row r="475" spans="1:3" x14ac:dyDescent="0.4">
      <c r="A475" s="1">
        <v>45765</v>
      </c>
      <c r="B475" t="s">
        <v>7</v>
      </c>
      <c r="C475">
        <v>562.50358340544028</v>
      </c>
    </row>
    <row r="476" spans="1:3" x14ac:dyDescent="0.4">
      <c r="A476" s="1">
        <v>45766</v>
      </c>
      <c r="B476" t="s">
        <v>7</v>
      </c>
      <c r="C476">
        <v>563.18522409060347</v>
      </c>
    </row>
    <row r="477" spans="1:3" x14ac:dyDescent="0.4">
      <c r="A477" s="1">
        <v>45767</v>
      </c>
      <c r="B477" t="s">
        <v>7</v>
      </c>
      <c r="C477">
        <v>563.86769078654663</v>
      </c>
    </row>
    <row r="478" spans="1:3" x14ac:dyDescent="0.4">
      <c r="A478" s="1">
        <v>45768</v>
      </c>
      <c r="B478" t="s">
        <v>7</v>
      </c>
      <c r="C478">
        <v>564.55098449422792</v>
      </c>
    </row>
    <row r="479" spans="1:3" x14ac:dyDescent="0.4">
      <c r="A479" s="1">
        <v>45769</v>
      </c>
      <c r="B479" t="s">
        <v>7</v>
      </c>
      <c r="C479">
        <v>565.23510621581852</v>
      </c>
    </row>
    <row r="480" spans="1:3" x14ac:dyDescent="0.4">
      <c r="A480" s="1">
        <v>45770</v>
      </c>
      <c r="B480" t="s">
        <v>7</v>
      </c>
      <c r="C480">
        <v>565.92005695470391</v>
      </c>
    </row>
    <row r="481" spans="1:3" x14ac:dyDescent="0.4">
      <c r="A481" s="1">
        <v>45771</v>
      </c>
      <c r="B481" t="s">
        <v>7</v>
      </c>
      <c r="C481">
        <v>566.60583771548556</v>
      </c>
    </row>
    <row r="482" spans="1:3" x14ac:dyDescent="0.4">
      <c r="A482" s="1">
        <v>45772</v>
      </c>
      <c r="B482" t="s">
        <v>7</v>
      </c>
      <c r="C482">
        <v>567.29244950398231</v>
      </c>
    </row>
    <row r="483" spans="1:3" x14ac:dyDescent="0.4">
      <c r="A483" s="1">
        <v>45773</v>
      </c>
      <c r="B483" t="s">
        <v>7</v>
      </c>
      <c r="C483">
        <v>567.97989332723182</v>
      </c>
    </row>
    <row r="484" spans="1:3" x14ac:dyDescent="0.4">
      <c r="A484" s="1">
        <v>45774</v>
      </c>
      <c r="B484" t="s">
        <v>7</v>
      </c>
      <c r="C484">
        <v>568.66817019349207</v>
      </c>
    </row>
    <row r="485" spans="1:3" x14ac:dyDescent="0.4">
      <c r="A485" s="1">
        <v>45775</v>
      </c>
      <c r="B485" t="s">
        <v>7</v>
      </c>
      <c r="C485">
        <v>569.35728111224296</v>
      </c>
    </row>
    <row r="486" spans="1:3" x14ac:dyDescent="0.4">
      <c r="A486" s="1">
        <v>45776</v>
      </c>
      <c r="B486" t="s">
        <v>7</v>
      </c>
      <c r="C486">
        <v>570.04722709418752</v>
      </c>
    </row>
    <row r="487" spans="1:3" x14ac:dyDescent="0.4">
      <c r="A487" s="1">
        <v>45777</v>
      </c>
      <c r="B487" t="s">
        <v>7</v>
      </c>
      <c r="C487">
        <v>570.73800915125355</v>
      </c>
    </row>
    <row r="488" spans="1:3" x14ac:dyDescent="0.4">
      <c r="A488" s="1">
        <v>45778</v>
      </c>
      <c r="B488" t="s">
        <v>7</v>
      </c>
      <c r="C488">
        <v>571.4296282965953</v>
      </c>
    </row>
    <row r="489" spans="1:3" x14ac:dyDescent="0.4">
      <c r="A489" s="1">
        <v>45779</v>
      </c>
      <c r="B489" t="s">
        <v>7</v>
      </c>
      <c r="C489">
        <v>572.12208554459448</v>
      </c>
    </row>
    <row r="490" spans="1:3" x14ac:dyDescent="0.4">
      <c r="A490" s="1">
        <v>45780</v>
      </c>
      <c r="B490" t="s">
        <v>7</v>
      </c>
      <c r="C490">
        <v>572.81538191086224</v>
      </c>
    </row>
    <row r="491" spans="1:3" x14ac:dyDescent="0.4">
      <c r="A491" s="1">
        <v>45781</v>
      </c>
      <c r="B491" t="s">
        <v>7</v>
      </c>
      <c r="C491">
        <v>573.50951841224037</v>
      </c>
    </row>
    <row r="492" spans="1:3" x14ac:dyDescent="0.4">
      <c r="A492" s="1">
        <v>45782</v>
      </c>
      <c r="B492" t="s">
        <v>7</v>
      </c>
      <c r="C492">
        <v>574.2044960668029</v>
      </c>
    </row>
    <row r="493" spans="1:3" x14ac:dyDescent="0.4">
      <c r="A493" s="1">
        <v>45783</v>
      </c>
      <c r="B493" t="s">
        <v>7</v>
      </c>
      <c r="C493">
        <v>574.90031589385751</v>
      </c>
    </row>
    <row r="494" spans="1:3" x14ac:dyDescent="0.4">
      <c r="A494" s="1">
        <v>45784</v>
      </c>
      <c r="B494" t="s">
        <v>7</v>
      </c>
      <c r="C494">
        <v>575.59697891394705</v>
      </c>
    </row>
    <row r="495" spans="1:3" x14ac:dyDescent="0.4">
      <c r="A495" s="1">
        <v>45785</v>
      </c>
      <c r="B495" t="s">
        <v>7</v>
      </c>
      <c r="C495">
        <v>576.29448614885109</v>
      </c>
    </row>
    <row r="496" spans="1:3" x14ac:dyDescent="0.4">
      <c r="A496" s="1">
        <v>45786</v>
      </c>
      <c r="B496" t="s">
        <v>7</v>
      </c>
      <c r="C496">
        <v>576.99283862158745</v>
      </c>
    </row>
    <row r="497" spans="1:3" x14ac:dyDescent="0.4">
      <c r="A497" s="1">
        <v>45787</v>
      </c>
      <c r="B497" t="s">
        <v>7</v>
      </c>
      <c r="C497">
        <v>577.69203735641361</v>
      </c>
    </row>
    <row r="498" spans="1:3" x14ac:dyDescent="0.4">
      <c r="A498" s="1">
        <v>45788</v>
      </c>
      <c r="B498" t="s">
        <v>7</v>
      </c>
      <c r="C498">
        <v>578.39208337882826</v>
      </c>
    </row>
    <row r="499" spans="1:3" x14ac:dyDescent="0.4">
      <c r="A499" s="1">
        <v>45789</v>
      </c>
      <c r="B499" t="s">
        <v>7</v>
      </c>
      <c r="C499">
        <v>579.09297771557272</v>
      </c>
    </row>
    <row r="500" spans="1:3" x14ac:dyDescent="0.4">
      <c r="A500" s="1">
        <v>45790</v>
      </c>
      <c r="B500" t="s">
        <v>7</v>
      </c>
      <c r="C500">
        <v>579.79472139463246</v>
      </c>
    </row>
    <row r="501" spans="1:3" x14ac:dyDescent="0.4">
      <c r="A501" s="1">
        <v>45791</v>
      </c>
      <c r="B501" t="s">
        <v>7</v>
      </c>
      <c r="C501">
        <v>580.49731544523888</v>
      </c>
    </row>
    <row r="502" spans="1:3" x14ac:dyDescent="0.4">
      <c r="A502" s="1">
        <v>45792</v>
      </c>
      <c r="B502" t="s">
        <v>7</v>
      </c>
      <c r="C502">
        <v>581.2007608978704</v>
      </c>
    </row>
    <row r="503" spans="1:3" x14ac:dyDescent="0.4">
      <c r="A503" s="1">
        <v>45793</v>
      </c>
      <c r="B503" t="s">
        <v>7</v>
      </c>
      <c r="C503">
        <v>581.71873209014598</v>
      </c>
    </row>
    <row r="504" spans="1:3" x14ac:dyDescent="0.4">
      <c r="A504" s="1">
        <v>45794</v>
      </c>
      <c r="B504" t="s">
        <v>7</v>
      </c>
      <c r="C504">
        <v>582.23716490287029</v>
      </c>
    </row>
    <row r="505" spans="1:3" x14ac:dyDescent="0.4">
      <c r="A505" s="1">
        <v>45795</v>
      </c>
      <c r="B505" t="s">
        <v>7</v>
      </c>
      <c r="C505">
        <v>582.75605974744349</v>
      </c>
    </row>
    <row r="506" spans="1:3" x14ac:dyDescent="0.4">
      <c r="A506" s="1">
        <v>45796</v>
      </c>
      <c r="B506" t="s">
        <v>7</v>
      </c>
      <c r="C506">
        <v>583.27541703563236</v>
      </c>
    </row>
    <row r="507" spans="1:3" x14ac:dyDescent="0.4">
      <c r="A507" s="1">
        <v>45797</v>
      </c>
      <c r="B507" t="s">
        <v>7</v>
      </c>
      <c r="C507">
        <v>583.79523717957068</v>
      </c>
    </row>
    <row r="508" spans="1:3" x14ac:dyDescent="0.4">
      <c r="A508" s="1">
        <v>45798</v>
      </c>
      <c r="B508" t="s">
        <v>7</v>
      </c>
      <c r="C508">
        <v>584.31552059175954</v>
      </c>
    </row>
    <row r="509" spans="1:3" x14ac:dyDescent="0.4">
      <c r="A509" s="1">
        <v>45799</v>
      </c>
      <c r="B509" t="s">
        <v>7</v>
      </c>
      <c r="C509">
        <v>584.8362676850677</v>
      </c>
    </row>
    <row r="510" spans="1:3" x14ac:dyDescent="0.4">
      <c r="A510" s="1">
        <v>45800</v>
      </c>
      <c r="B510" t="s">
        <v>7</v>
      </c>
      <c r="C510">
        <v>585.3574788727318</v>
      </c>
    </row>
    <row r="511" spans="1:3" x14ac:dyDescent="0.4">
      <c r="A511" s="1">
        <v>45801</v>
      </c>
      <c r="B511" t="s">
        <v>7</v>
      </c>
      <c r="C511">
        <v>585.87915456835674</v>
      </c>
    </row>
    <row r="512" spans="1:3" x14ac:dyDescent="0.4">
      <c r="A512" s="1">
        <v>45802</v>
      </c>
      <c r="B512" t="s">
        <v>7</v>
      </c>
      <c r="C512">
        <v>586.40129518591607</v>
      </c>
    </row>
    <row r="513" spans="1:3" x14ac:dyDescent="0.4">
      <c r="A513" s="1">
        <v>45803</v>
      </c>
      <c r="B513" t="s">
        <v>7</v>
      </c>
      <c r="C513">
        <v>586.92390113975239</v>
      </c>
    </row>
    <row r="514" spans="1:3" x14ac:dyDescent="0.4">
      <c r="A514" s="1">
        <v>45804</v>
      </c>
      <c r="B514" t="s">
        <v>7</v>
      </c>
      <c r="C514">
        <v>587.44697284457732</v>
      </c>
    </row>
    <row r="515" spans="1:3" x14ac:dyDescent="0.4">
      <c r="A515" s="1">
        <v>45805</v>
      </c>
      <c r="B515" t="s">
        <v>7</v>
      </c>
      <c r="C515">
        <v>587.9705107154723</v>
      </c>
    </row>
    <row r="516" spans="1:3" x14ac:dyDescent="0.4">
      <c r="A516" s="1">
        <v>45806</v>
      </c>
      <c r="B516" t="s">
        <v>7</v>
      </c>
      <c r="C516">
        <v>588.49451516788849</v>
      </c>
    </row>
    <row r="517" spans="1:3" x14ac:dyDescent="0.4">
      <c r="A517" s="1">
        <v>45807</v>
      </c>
      <c r="B517" t="s">
        <v>7</v>
      </c>
      <c r="C517">
        <v>589.01898661764756</v>
      </c>
    </row>
    <row r="518" spans="1:3" x14ac:dyDescent="0.4">
      <c r="A518" s="1">
        <v>45808</v>
      </c>
      <c r="B518" t="s">
        <v>7</v>
      </c>
      <c r="C518">
        <v>589.54392548094154</v>
      </c>
    </row>
    <row r="519" spans="1:3" x14ac:dyDescent="0.4">
      <c r="A519" s="1">
        <v>45809</v>
      </c>
      <c r="B519" t="s">
        <v>7</v>
      </c>
      <c r="C519">
        <v>590.06933217433345</v>
      </c>
    </row>
    <row r="520" spans="1:3" x14ac:dyDescent="0.4">
      <c r="A520" s="1">
        <v>45810</v>
      </c>
      <c r="B520" t="s">
        <v>7</v>
      </c>
      <c r="C520">
        <v>590.5952071147575</v>
      </c>
    </row>
    <row r="521" spans="1:3" x14ac:dyDescent="0.4">
      <c r="A521" s="1">
        <v>45811</v>
      </c>
      <c r="B521" t="s">
        <v>7</v>
      </c>
      <c r="C521">
        <v>591.12155071951963</v>
      </c>
    </row>
    <row r="522" spans="1:3" x14ac:dyDescent="0.4">
      <c r="A522" s="1">
        <v>45812</v>
      </c>
      <c r="B522" t="s">
        <v>7</v>
      </c>
      <c r="C522">
        <v>591.64836340629756</v>
      </c>
    </row>
    <row r="523" spans="1:3" x14ac:dyDescent="0.4">
      <c r="A523" s="1">
        <v>45813</v>
      </c>
      <c r="B523" t="s">
        <v>7</v>
      </c>
      <c r="C523">
        <v>592.17564559314133</v>
      </c>
    </row>
    <row r="524" spans="1:3" x14ac:dyDescent="0.4">
      <c r="A524" s="1">
        <v>45814</v>
      </c>
      <c r="B524" t="s">
        <v>7</v>
      </c>
      <c r="C524">
        <v>592.7033976984734</v>
      </c>
    </row>
    <row r="525" spans="1:3" x14ac:dyDescent="0.4">
      <c r="A525" s="1">
        <v>45815</v>
      </c>
      <c r="B525" t="s">
        <v>7</v>
      </c>
      <c r="C525">
        <v>593.23162014108925</v>
      </c>
    </row>
    <row r="526" spans="1:3" x14ac:dyDescent="0.4">
      <c r="A526" s="1">
        <v>45816</v>
      </c>
      <c r="B526" t="s">
        <v>7</v>
      </c>
      <c r="C526">
        <v>593.76031334015761</v>
      </c>
    </row>
    <row r="527" spans="1:3" x14ac:dyDescent="0.4">
      <c r="A527" s="1">
        <v>45817</v>
      </c>
      <c r="B527" t="s">
        <v>7</v>
      </c>
      <c r="C527">
        <v>594.28947771522076</v>
      </c>
    </row>
    <row r="528" spans="1:3" x14ac:dyDescent="0.4">
      <c r="A528" s="1">
        <v>45818</v>
      </c>
      <c r="B528" t="s">
        <v>7</v>
      </c>
      <c r="C528">
        <v>594.81911368619478</v>
      </c>
    </row>
    <row r="529" spans="1:3" x14ac:dyDescent="0.4">
      <c r="A529" s="1">
        <v>45819</v>
      </c>
      <c r="B529" t="s">
        <v>7</v>
      </c>
      <c r="C529">
        <v>595.34922167337015</v>
      </c>
    </row>
    <row r="530" spans="1:3" x14ac:dyDescent="0.4">
      <c r="A530" s="1">
        <v>45820</v>
      </c>
      <c r="B530" t="s">
        <v>7</v>
      </c>
      <c r="C530">
        <v>595.87980209741181</v>
      </c>
    </row>
    <row r="531" spans="1:3" x14ac:dyDescent="0.4">
      <c r="A531" s="1">
        <v>45821</v>
      </c>
      <c r="B531" t="s">
        <v>7</v>
      </c>
      <c r="C531">
        <v>596.41085537935953</v>
      </c>
    </row>
    <row r="532" spans="1:3" x14ac:dyDescent="0.4">
      <c r="A532" s="1">
        <v>45822</v>
      </c>
      <c r="B532" t="s">
        <v>7</v>
      </c>
      <c r="C532">
        <v>596.94238194062848</v>
      </c>
    </row>
    <row r="533" spans="1:3" x14ac:dyDescent="0.4">
      <c r="A533" s="1">
        <v>45823</v>
      </c>
      <c r="B533" t="s">
        <v>7</v>
      </c>
      <c r="C533">
        <v>597.47438220300933</v>
      </c>
    </row>
    <row r="534" spans="1:3" x14ac:dyDescent="0.4">
      <c r="A534" s="1">
        <v>45824</v>
      </c>
      <c r="B534" t="s">
        <v>7</v>
      </c>
      <c r="C534">
        <v>597.77097461279823</v>
      </c>
    </row>
    <row r="535" spans="1:3" x14ac:dyDescent="0.4">
      <c r="A535" s="1">
        <v>45825</v>
      </c>
      <c r="B535" t="s">
        <v>7</v>
      </c>
      <c r="C535">
        <v>598.06771425410057</v>
      </c>
    </row>
    <row r="536" spans="1:3" x14ac:dyDescent="0.4">
      <c r="A536" s="1">
        <v>45826</v>
      </c>
      <c r="B536" t="s">
        <v>7</v>
      </c>
      <c r="C536">
        <v>598.36460120000356</v>
      </c>
    </row>
    <row r="537" spans="1:3" x14ac:dyDescent="0.4">
      <c r="A537" s="1">
        <v>45827</v>
      </c>
      <c r="B537" t="s">
        <v>7</v>
      </c>
      <c r="C537">
        <v>598.66163552363082</v>
      </c>
    </row>
    <row r="538" spans="1:3" x14ac:dyDescent="0.4">
      <c r="A538" s="1">
        <v>45828</v>
      </c>
      <c r="B538" t="s">
        <v>7</v>
      </c>
      <c r="C538">
        <v>598.95881729814209</v>
      </c>
    </row>
    <row r="539" spans="1:3" x14ac:dyDescent="0.4">
      <c r="A539" s="1">
        <v>45829</v>
      </c>
      <c r="B539" t="s">
        <v>7</v>
      </c>
      <c r="C539">
        <v>599.25614659673352</v>
      </c>
    </row>
    <row r="540" spans="1:3" x14ac:dyDescent="0.4">
      <c r="A540" s="1">
        <v>45830</v>
      </c>
      <c r="B540" t="s">
        <v>7</v>
      </c>
      <c r="C540">
        <v>599.55362349263748</v>
      </c>
    </row>
    <row r="541" spans="1:3" x14ac:dyDescent="0.4">
      <c r="A541" s="1">
        <v>45831</v>
      </c>
      <c r="B541" t="s">
        <v>7</v>
      </c>
      <c r="C541">
        <v>599.8512480591229</v>
      </c>
    </row>
    <row r="542" spans="1:3" x14ac:dyDescent="0.4">
      <c r="A542" s="1">
        <v>45832</v>
      </c>
      <c r="B542" t="s">
        <v>7</v>
      </c>
      <c r="C542">
        <v>600.14902036949491</v>
      </c>
    </row>
    <row r="543" spans="1:3" x14ac:dyDescent="0.4">
      <c r="A543" s="1">
        <v>45833</v>
      </c>
      <c r="B543" t="s">
        <v>7</v>
      </c>
      <c r="C543">
        <v>600.44694049709517</v>
      </c>
    </row>
    <row r="544" spans="1:3" x14ac:dyDescent="0.4">
      <c r="A544" s="1">
        <v>45834</v>
      </c>
      <c r="B544" t="s">
        <v>7</v>
      </c>
      <c r="C544">
        <v>600.74500851530161</v>
      </c>
    </row>
    <row r="545" spans="1:3" x14ac:dyDescent="0.4">
      <c r="A545" s="1">
        <v>45835</v>
      </c>
      <c r="B545" t="s">
        <v>7</v>
      </c>
      <c r="C545">
        <v>601.04322449752863</v>
      </c>
    </row>
    <row r="546" spans="1:3" x14ac:dyDescent="0.4">
      <c r="A546" s="1">
        <v>45836</v>
      </c>
      <c r="B546" t="s">
        <v>7</v>
      </c>
      <c r="C546">
        <v>601.34158851722714</v>
      </c>
    </row>
    <row r="547" spans="1:3" x14ac:dyDescent="0.4">
      <c r="A547" s="1">
        <v>45837</v>
      </c>
      <c r="B547" t="s">
        <v>7</v>
      </c>
      <c r="C547">
        <v>601.64010064788442</v>
      </c>
    </row>
    <row r="548" spans="1:3" x14ac:dyDescent="0.4">
      <c r="A548" s="1">
        <v>45838</v>
      </c>
      <c r="B548" t="s">
        <v>7</v>
      </c>
      <c r="C548">
        <v>601.93876096302427</v>
      </c>
    </row>
    <row r="549" spans="1:3" x14ac:dyDescent="0.4">
      <c r="A549" s="1">
        <v>45839</v>
      </c>
      <c r="B549" t="s">
        <v>7</v>
      </c>
      <c r="C549">
        <v>602.23756953620705</v>
      </c>
    </row>
    <row r="550" spans="1:3" x14ac:dyDescent="0.4">
      <c r="A550" s="1">
        <v>45840</v>
      </c>
      <c r="B550" t="s">
        <v>7</v>
      </c>
      <c r="C550">
        <v>602.53652644102954</v>
      </c>
    </row>
    <row r="551" spans="1:3" x14ac:dyDescent="0.4">
      <c r="A551" s="1">
        <v>45841</v>
      </c>
      <c r="B551" t="s">
        <v>7</v>
      </c>
      <c r="C551">
        <v>602.83563175112499</v>
      </c>
    </row>
    <row r="552" spans="1:3" x14ac:dyDescent="0.4">
      <c r="A552" s="1">
        <v>45842</v>
      </c>
      <c r="B552" t="s">
        <v>7</v>
      </c>
      <c r="C552">
        <v>603.1348855401634</v>
      </c>
    </row>
    <row r="553" spans="1:3" x14ac:dyDescent="0.4">
      <c r="A553" s="1">
        <v>45843</v>
      </c>
      <c r="B553" t="s">
        <v>7</v>
      </c>
      <c r="C553">
        <v>603.43428788185122</v>
      </c>
    </row>
    <row r="554" spans="1:3" x14ac:dyDescent="0.4">
      <c r="A554" s="1">
        <v>45844</v>
      </c>
      <c r="B554" t="s">
        <v>7</v>
      </c>
      <c r="C554">
        <v>603.73383884993154</v>
      </c>
    </row>
    <row r="555" spans="1:3" x14ac:dyDescent="0.4">
      <c r="A555" s="1">
        <v>45845</v>
      </c>
      <c r="B555" t="s">
        <v>7</v>
      </c>
      <c r="C555">
        <v>604.03353851818395</v>
      </c>
    </row>
    <row r="556" spans="1:3" x14ac:dyDescent="0.4">
      <c r="A556" s="1">
        <v>45846</v>
      </c>
      <c r="B556" t="s">
        <v>7</v>
      </c>
      <c r="C556">
        <v>604.33338696042483</v>
      </c>
    </row>
    <row r="557" spans="1:3" x14ac:dyDescent="0.4">
      <c r="A557" s="1">
        <v>45847</v>
      </c>
      <c r="B557" t="s">
        <v>7</v>
      </c>
      <c r="C557">
        <v>604.63338425050699</v>
      </c>
    </row>
    <row r="558" spans="1:3" x14ac:dyDescent="0.4">
      <c r="A558" s="1">
        <v>45848</v>
      </c>
      <c r="B558" t="s">
        <v>7</v>
      </c>
      <c r="C558">
        <v>604.93353046232016</v>
      </c>
    </row>
    <row r="559" spans="1:3" x14ac:dyDescent="0.4">
      <c r="A559" s="1">
        <v>45849</v>
      </c>
      <c r="B559" t="s">
        <v>7</v>
      </c>
      <c r="C559">
        <v>605.23382566979058</v>
      </c>
    </row>
    <row r="560" spans="1:3" x14ac:dyDescent="0.4">
      <c r="A560" s="1">
        <v>45850</v>
      </c>
      <c r="B560" t="s">
        <v>7</v>
      </c>
      <c r="C560">
        <v>605.53426994688118</v>
      </c>
    </row>
    <row r="561" spans="1:3" x14ac:dyDescent="0.4">
      <c r="A561" s="1">
        <v>45851</v>
      </c>
      <c r="B561" t="s">
        <v>7</v>
      </c>
      <c r="C561">
        <v>605.83486336759165</v>
      </c>
    </row>
    <row r="562" spans="1:3" x14ac:dyDescent="0.4">
      <c r="A562" s="1">
        <v>45852</v>
      </c>
      <c r="B562" t="s">
        <v>7</v>
      </c>
      <c r="C562">
        <v>606.13560600595838</v>
      </c>
    </row>
    <row r="563" spans="1:3" x14ac:dyDescent="0.4">
      <c r="A563" s="1">
        <v>45853</v>
      </c>
      <c r="B563" t="s">
        <v>7</v>
      </c>
      <c r="C563">
        <v>606.43649793605459</v>
      </c>
    </row>
    <row r="564" spans="1:3" x14ac:dyDescent="0.4">
      <c r="A564" s="1">
        <v>45854</v>
      </c>
      <c r="B564" t="s">
        <v>7</v>
      </c>
      <c r="C564">
        <v>606.7470993297535</v>
      </c>
    </row>
    <row r="565" spans="1:3" x14ac:dyDescent="0.4">
      <c r="A565" s="1">
        <v>45855</v>
      </c>
      <c r="B565" t="s">
        <v>7</v>
      </c>
      <c r="C565">
        <v>607.05785980560881</v>
      </c>
    </row>
    <row r="566" spans="1:3" x14ac:dyDescent="0.4">
      <c r="A566" s="1">
        <v>45856</v>
      </c>
      <c r="B566" t="s">
        <v>7</v>
      </c>
      <c r="C566">
        <v>607.3687794450982</v>
      </c>
    </row>
    <row r="567" spans="1:3" x14ac:dyDescent="0.4">
      <c r="A567" s="1">
        <v>45857</v>
      </c>
      <c r="B567" t="s">
        <v>7</v>
      </c>
      <c r="C567">
        <v>607.67985832974136</v>
      </c>
    </row>
    <row r="568" spans="1:3" x14ac:dyDescent="0.4">
      <c r="A568" s="1">
        <v>45858</v>
      </c>
      <c r="B568" t="s">
        <v>7</v>
      </c>
      <c r="C568">
        <v>607.99109654109964</v>
      </c>
    </row>
    <row r="569" spans="1:3" x14ac:dyDescent="0.4">
      <c r="A569" s="1">
        <v>45859</v>
      </c>
      <c r="B569" t="s">
        <v>7</v>
      </c>
      <c r="C569">
        <v>608.30249416077606</v>
      </c>
    </row>
    <row r="570" spans="1:3" x14ac:dyDescent="0.4">
      <c r="A570" s="1">
        <v>45860</v>
      </c>
      <c r="B570" t="s">
        <v>7</v>
      </c>
      <c r="C570">
        <v>608.61405127041564</v>
      </c>
    </row>
    <row r="571" spans="1:3" x14ac:dyDescent="0.4">
      <c r="A571" s="1">
        <v>45861</v>
      </c>
      <c r="B571" t="s">
        <v>7</v>
      </c>
      <c r="C571">
        <v>608.92576795170498</v>
      </c>
    </row>
    <row r="572" spans="1:3" x14ac:dyDescent="0.4">
      <c r="A572" s="1">
        <v>45862</v>
      </c>
      <c r="B572" t="s">
        <v>7</v>
      </c>
      <c r="C572">
        <v>609.23764428637264</v>
      </c>
    </row>
    <row r="573" spans="1:3" x14ac:dyDescent="0.4">
      <c r="A573" s="1">
        <v>45863</v>
      </c>
      <c r="B573" t="s">
        <v>7</v>
      </c>
      <c r="C573">
        <v>609.54968035618901</v>
      </c>
    </row>
    <row r="574" spans="1:3" x14ac:dyDescent="0.4">
      <c r="A574" s="1">
        <v>45864</v>
      </c>
      <c r="B574" t="s">
        <v>7</v>
      </c>
      <c r="C574">
        <v>609.86187624296645</v>
      </c>
    </row>
    <row r="575" spans="1:3" x14ac:dyDescent="0.4">
      <c r="A575" s="1">
        <v>45865</v>
      </c>
      <c r="B575" t="s">
        <v>7</v>
      </c>
      <c r="C575">
        <v>610.17423202855912</v>
      </c>
    </row>
    <row r="576" spans="1:3" x14ac:dyDescent="0.4">
      <c r="A576" s="1">
        <v>45866</v>
      </c>
      <c r="B576" t="s">
        <v>7</v>
      </c>
      <c r="C576">
        <v>610.48674779486316</v>
      </c>
    </row>
    <row r="577" spans="1:3" x14ac:dyDescent="0.4">
      <c r="A577" s="1">
        <v>45867</v>
      </c>
      <c r="B577" t="s">
        <v>7</v>
      </c>
      <c r="C577">
        <v>610.79942362381666</v>
      </c>
    </row>
    <row r="578" spans="1:3" x14ac:dyDescent="0.4">
      <c r="A578" s="1">
        <v>45868</v>
      </c>
      <c r="B578" t="s">
        <v>7</v>
      </c>
      <c r="C578">
        <v>611.11225959739966</v>
      </c>
    </row>
    <row r="579" spans="1:3" x14ac:dyDescent="0.4">
      <c r="A579" s="1">
        <v>45869</v>
      </c>
      <c r="B579" t="s">
        <v>7</v>
      </c>
      <c r="C579">
        <v>611.42525579763412</v>
      </c>
    </row>
    <row r="580" spans="1:3" x14ac:dyDescent="0.4">
      <c r="A580" s="1">
        <v>45870</v>
      </c>
      <c r="B580" t="s">
        <v>7</v>
      </c>
      <c r="C580">
        <v>611.738412306584</v>
      </c>
    </row>
    <row r="581" spans="1:3" x14ac:dyDescent="0.4">
      <c r="A581" s="1">
        <v>45871</v>
      </c>
      <c r="B581" t="s">
        <v>7</v>
      </c>
      <c r="C581">
        <v>612.0517292063555</v>
      </c>
    </row>
    <row r="582" spans="1:3" x14ac:dyDescent="0.4">
      <c r="A582" s="1">
        <v>45872</v>
      </c>
      <c r="B582" t="s">
        <v>7</v>
      </c>
      <c r="C582">
        <v>612.36520657909671</v>
      </c>
    </row>
    <row r="583" spans="1:3" x14ac:dyDescent="0.4">
      <c r="A583" s="1">
        <v>45873</v>
      </c>
      <c r="B583" t="s">
        <v>7</v>
      </c>
      <c r="C583">
        <v>612.67884450699773</v>
      </c>
    </row>
    <row r="584" spans="1:3" x14ac:dyDescent="0.4">
      <c r="A584" s="1">
        <v>45874</v>
      </c>
      <c r="B584" t="s">
        <v>7</v>
      </c>
      <c r="C584">
        <v>612.99264307229089</v>
      </c>
    </row>
    <row r="585" spans="1:3" x14ac:dyDescent="0.4">
      <c r="A585" s="1">
        <v>45875</v>
      </c>
      <c r="B585" t="s">
        <v>7</v>
      </c>
      <c r="C585">
        <v>613.30660235725054</v>
      </c>
    </row>
    <row r="586" spans="1:3" x14ac:dyDescent="0.4">
      <c r="A586" s="1">
        <v>45876</v>
      </c>
      <c r="B586" t="s">
        <v>7</v>
      </c>
      <c r="C586">
        <v>613.62072244419323</v>
      </c>
    </row>
    <row r="587" spans="1:3" x14ac:dyDescent="0.4">
      <c r="A587" s="1">
        <v>45877</v>
      </c>
      <c r="B587" t="s">
        <v>7</v>
      </c>
      <c r="C587">
        <v>613.93500341547769</v>
      </c>
    </row>
    <row r="588" spans="1:3" x14ac:dyDescent="0.4">
      <c r="A588" s="1">
        <v>45878</v>
      </c>
      <c r="B588" t="s">
        <v>7</v>
      </c>
      <c r="C588">
        <v>614.24944535350483</v>
      </c>
    </row>
    <row r="589" spans="1:3" x14ac:dyDescent="0.4">
      <c r="A589" s="1">
        <v>45879</v>
      </c>
      <c r="B589" t="s">
        <v>7</v>
      </c>
      <c r="C589">
        <v>614.5640483407177</v>
      </c>
    </row>
    <row r="590" spans="1:3" x14ac:dyDescent="0.4">
      <c r="A590" s="1">
        <v>45880</v>
      </c>
      <c r="B590" t="s">
        <v>7</v>
      </c>
      <c r="C590">
        <v>614.87881245960159</v>
      </c>
    </row>
    <row r="591" spans="1:3" x14ac:dyDescent="0.4">
      <c r="A591" s="1">
        <v>45881</v>
      </c>
      <c r="B591" t="s">
        <v>7</v>
      </c>
      <c r="C591">
        <v>615.19373779268415</v>
      </c>
    </row>
    <row r="592" spans="1:3" x14ac:dyDescent="0.4">
      <c r="A592" s="1">
        <v>45882</v>
      </c>
      <c r="B592" t="s">
        <v>7</v>
      </c>
      <c r="C592">
        <v>615.5088244225351</v>
      </c>
    </row>
    <row r="593" spans="1:3" x14ac:dyDescent="0.4">
      <c r="A593" s="1">
        <v>45883</v>
      </c>
      <c r="B593" t="s">
        <v>7</v>
      </c>
      <c r="C593">
        <v>615.82407243176658</v>
      </c>
    </row>
    <row r="594" spans="1:3" x14ac:dyDescent="0.4">
      <c r="A594" s="1">
        <v>45884</v>
      </c>
      <c r="B594" t="s">
        <v>7</v>
      </c>
      <c r="C594">
        <v>616.13948190303302</v>
      </c>
    </row>
    <row r="595" spans="1:3" x14ac:dyDescent="0.4">
      <c r="A595" s="1">
        <v>45885</v>
      </c>
      <c r="B595" t="s">
        <v>7</v>
      </c>
      <c r="C595">
        <v>616.51368664964048</v>
      </c>
    </row>
    <row r="596" spans="1:3" x14ac:dyDescent="0.4">
      <c r="A596" s="1">
        <v>45886</v>
      </c>
      <c r="B596" t="s">
        <v>7</v>
      </c>
      <c r="C596">
        <v>616.8881186649046</v>
      </c>
    </row>
    <row r="597" spans="1:3" x14ac:dyDescent="0.4">
      <c r="A597" s="1">
        <v>45887</v>
      </c>
      <c r="B597" t="s">
        <v>7</v>
      </c>
      <c r="C597">
        <v>617.26277808685427</v>
      </c>
    </row>
    <row r="598" spans="1:3" x14ac:dyDescent="0.4">
      <c r="A598" s="1">
        <v>45888</v>
      </c>
      <c r="B598" t="s">
        <v>7</v>
      </c>
      <c r="C598">
        <v>617.63766505360206</v>
      </c>
    </row>
    <row r="599" spans="1:3" x14ac:dyDescent="0.4">
      <c r="A599" s="1">
        <v>45889</v>
      </c>
      <c r="B599" t="s">
        <v>7</v>
      </c>
      <c r="C599">
        <v>618.01277970334456</v>
      </c>
    </row>
    <row r="600" spans="1:3" x14ac:dyDescent="0.4">
      <c r="A600" s="1">
        <v>45890</v>
      </c>
      <c r="B600" t="s">
        <v>7</v>
      </c>
      <c r="C600">
        <v>618.38812217436225</v>
      </c>
    </row>
    <row r="601" spans="1:3" x14ac:dyDescent="0.4">
      <c r="A601" s="1">
        <v>45891</v>
      </c>
      <c r="B601" t="s">
        <v>7</v>
      </c>
      <c r="C601">
        <v>618.76369260501963</v>
      </c>
    </row>
    <row r="602" spans="1:3" x14ac:dyDescent="0.4">
      <c r="A602" s="1">
        <v>45892</v>
      </c>
      <c r="B602" t="s">
        <v>7</v>
      </c>
      <c r="C602">
        <v>619.13949113376509</v>
      </c>
    </row>
    <row r="603" spans="1:3" x14ac:dyDescent="0.4">
      <c r="A603" s="1">
        <v>45893</v>
      </c>
      <c r="B603" t="s">
        <v>7</v>
      </c>
      <c r="C603">
        <v>619.51551789913128</v>
      </c>
    </row>
    <row r="604" spans="1:3" x14ac:dyDescent="0.4">
      <c r="A604" s="1">
        <v>45894</v>
      </c>
      <c r="B604" t="s">
        <v>7</v>
      </c>
      <c r="C604">
        <v>619.89177303973486</v>
      </c>
    </row>
    <row r="605" spans="1:3" x14ac:dyDescent="0.4">
      <c r="A605" s="1">
        <v>45895</v>
      </c>
      <c r="B605" t="s">
        <v>7</v>
      </c>
      <c r="C605">
        <v>620.26825669427672</v>
      </c>
    </row>
    <row r="606" spans="1:3" x14ac:dyDescent="0.4">
      <c r="A606" s="1">
        <v>45896</v>
      </c>
      <c r="B606" t="s">
        <v>7</v>
      </c>
      <c r="C606">
        <v>620.64496900154199</v>
      </c>
    </row>
    <row r="607" spans="1:3" x14ac:dyDescent="0.4">
      <c r="A607" s="1">
        <v>45897</v>
      </c>
      <c r="B607" t="s">
        <v>7</v>
      </c>
      <c r="C607">
        <v>621.02191010040008</v>
      </c>
    </row>
    <row r="608" spans="1:3" x14ac:dyDescent="0.4">
      <c r="A608" s="1">
        <v>45898</v>
      </c>
      <c r="B608" t="s">
        <v>7</v>
      </c>
      <c r="C608">
        <v>621.39908012980482</v>
      </c>
    </row>
    <row r="609" spans="1:3" x14ac:dyDescent="0.4">
      <c r="A609" s="1">
        <v>45899</v>
      </c>
      <c r="B609" t="s">
        <v>7</v>
      </c>
      <c r="C609">
        <v>621.7764792287943</v>
      </c>
    </row>
    <row r="610" spans="1:3" x14ac:dyDescent="0.4">
      <c r="A610" s="1">
        <v>45900</v>
      </c>
      <c r="B610" t="s">
        <v>7</v>
      </c>
      <c r="C610">
        <v>622.15410753649121</v>
      </c>
    </row>
    <row r="611" spans="1:3" x14ac:dyDescent="0.4">
      <c r="A611" s="1">
        <v>45901</v>
      </c>
      <c r="B611" t="s">
        <v>7</v>
      </c>
      <c r="C611">
        <v>622.53196519210258</v>
      </c>
    </row>
    <row r="612" spans="1:3" x14ac:dyDescent="0.4">
      <c r="A612" s="1">
        <v>45902</v>
      </c>
      <c r="B612" t="s">
        <v>7</v>
      </c>
      <c r="C612">
        <v>622.91005233492001</v>
      </c>
    </row>
    <row r="613" spans="1:3" x14ac:dyDescent="0.4">
      <c r="A613" s="1">
        <v>45903</v>
      </c>
      <c r="B613" t="s">
        <v>7</v>
      </c>
      <c r="C613">
        <v>623.28836910431983</v>
      </c>
    </row>
    <row r="614" spans="1:3" x14ac:dyDescent="0.4">
      <c r="A614" s="1">
        <v>45904</v>
      </c>
      <c r="B614" t="s">
        <v>7</v>
      </c>
      <c r="C614">
        <v>623.66691563976281</v>
      </c>
    </row>
    <row r="615" spans="1:3" x14ac:dyDescent="0.4">
      <c r="A615" s="1">
        <v>45905</v>
      </c>
      <c r="B615" t="s">
        <v>7</v>
      </c>
      <c r="C615">
        <v>624.04569208079465</v>
      </c>
    </row>
    <row r="616" spans="1:3" x14ac:dyDescent="0.4">
      <c r="A616" s="1">
        <v>45906</v>
      </c>
      <c r="B616" t="s">
        <v>7</v>
      </c>
      <c r="C616">
        <v>624.42469856704565</v>
      </c>
    </row>
    <row r="617" spans="1:3" x14ac:dyDescent="0.4">
      <c r="A617" s="1">
        <v>45907</v>
      </c>
      <c r="B617" t="s">
        <v>7</v>
      </c>
      <c r="C617">
        <v>624.80393523823091</v>
      </c>
    </row>
    <row r="618" spans="1:3" x14ac:dyDescent="0.4">
      <c r="A618" s="1">
        <v>45908</v>
      </c>
      <c r="B618" t="s">
        <v>7</v>
      </c>
      <c r="C618">
        <v>625.18340223415044</v>
      </c>
    </row>
    <row r="619" spans="1:3" x14ac:dyDescent="0.4">
      <c r="A619" s="1">
        <v>45909</v>
      </c>
      <c r="B619" t="s">
        <v>7</v>
      </c>
      <c r="C619">
        <v>625.56309969468919</v>
      </c>
    </row>
    <row r="620" spans="1:3" x14ac:dyDescent="0.4">
      <c r="A620" s="1">
        <v>45910</v>
      </c>
      <c r="B620" t="s">
        <v>7</v>
      </c>
      <c r="C620">
        <v>625.94302775981691</v>
      </c>
    </row>
    <row r="621" spans="1:3" x14ac:dyDescent="0.4">
      <c r="A621" s="1">
        <v>45911</v>
      </c>
      <c r="B621" t="s">
        <v>7</v>
      </c>
      <c r="C621">
        <v>626.32318656958853</v>
      </c>
    </row>
    <row r="622" spans="1:3" x14ac:dyDescent="0.4">
      <c r="A622" s="1">
        <v>45912</v>
      </c>
      <c r="B622" t="s">
        <v>7</v>
      </c>
      <c r="C622">
        <v>626.70357626414398</v>
      </c>
    </row>
    <row r="623" spans="1:3" x14ac:dyDescent="0.4">
      <c r="A623" s="1">
        <v>45913</v>
      </c>
      <c r="B623" t="s">
        <v>7</v>
      </c>
      <c r="C623">
        <v>627.08419698370824</v>
      </c>
    </row>
    <row r="624" spans="1:3" x14ac:dyDescent="0.4">
      <c r="A624" s="1">
        <v>45914</v>
      </c>
      <c r="B624" t="s">
        <v>7</v>
      </c>
      <c r="C624">
        <v>627.46504886859157</v>
      </c>
    </row>
    <row r="625" spans="1:3" x14ac:dyDescent="0.4">
      <c r="A625" s="1">
        <v>45915</v>
      </c>
      <c r="B625" t="s">
        <v>7</v>
      </c>
      <c r="C625">
        <v>627.84613205918936</v>
      </c>
    </row>
    <row r="626" spans="1:3" x14ac:dyDescent="0.4">
      <c r="A626" s="1">
        <v>45916</v>
      </c>
      <c r="B626" t="s">
        <v>7</v>
      </c>
      <c r="C626">
        <v>628.24016117153394</v>
      </c>
    </row>
    <row r="627" spans="1:3" x14ac:dyDescent="0.4">
      <c r="A627" s="1">
        <v>45917</v>
      </c>
      <c r="B627" t="s">
        <v>7</v>
      </c>
      <c r="C627">
        <v>628.63443757208086</v>
      </c>
    </row>
    <row r="628" spans="1:3" x14ac:dyDescent="0.4">
      <c r="A628" s="1">
        <v>45918</v>
      </c>
      <c r="B628" t="s">
        <v>7</v>
      </c>
      <c r="C628">
        <v>629.02896141602548</v>
      </c>
    </row>
    <row r="629" spans="1:3" x14ac:dyDescent="0.4">
      <c r="A629" s="1">
        <v>45919</v>
      </c>
      <c r="B629" t="s">
        <v>7</v>
      </c>
      <c r="C629">
        <v>629.4237328586604</v>
      </c>
    </row>
    <row r="630" spans="1:3" x14ac:dyDescent="0.4">
      <c r="A630" s="1">
        <v>45920</v>
      </c>
      <c r="B630" t="s">
        <v>7</v>
      </c>
      <c r="C630">
        <v>629.81875205537585</v>
      </c>
    </row>
    <row r="631" spans="1:3" x14ac:dyDescent="0.4">
      <c r="A631" s="1">
        <v>45921</v>
      </c>
      <c r="B631" t="s">
        <v>7</v>
      </c>
      <c r="C631">
        <v>630.21401916165939</v>
      </c>
    </row>
    <row r="632" spans="1:3" x14ac:dyDescent="0.4">
      <c r="A632" s="1">
        <v>45922</v>
      </c>
      <c r="B632" t="s">
        <v>7</v>
      </c>
      <c r="C632">
        <v>630.60953433309624</v>
      </c>
    </row>
    <row r="633" spans="1:3" x14ac:dyDescent="0.4">
      <c r="A633" s="1">
        <v>45923</v>
      </c>
      <c r="B633" t="s">
        <v>7</v>
      </c>
      <c r="C633">
        <v>631.00529772536936</v>
      </c>
    </row>
    <row r="634" spans="1:3" x14ac:dyDescent="0.4">
      <c r="A634" s="1">
        <v>45924</v>
      </c>
      <c r="B634" t="s">
        <v>7</v>
      </c>
      <c r="C634">
        <v>631.40130949425929</v>
      </c>
    </row>
    <row r="635" spans="1:3" x14ac:dyDescent="0.4">
      <c r="A635" s="1">
        <v>45925</v>
      </c>
      <c r="B635" t="s">
        <v>7</v>
      </c>
      <c r="C635">
        <v>631.79756979564434</v>
      </c>
    </row>
    <row r="636" spans="1:3" x14ac:dyDescent="0.4">
      <c r="A636" s="1">
        <v>45926</v>
      </c>
      <c r="B636" t="s">
        <v>7</v>
      </c>
      <c r="C636">
        <v>632.19407878550078</v>
      </c>
    </row>
    <row r="637" spans="1:3" x14ac:dyDescent="0.4">
      <c r="A637" s="1">
        <v>45927</v>
      </c>
      <c r="B637" t="s">
        <v>7</v>
      </c>
      <c r="C637">
        <v>632.59083661990257</v>
      </c>
    </row>
    <row r="638" spans="1:3" x14ac:dyDescent="0.4">
      <c r="A638" s="1">
        <v>45928</v>
      </c>
      <c r="B638" t="s">
        <v>7</v>
      </c>
      <c r="C638">
        <v>632.98784345502179</v>
      </c>
    </row>
    <row r="639" spans="1:3" x14ac:dyDescent="0.4">
      <c r="A639" s="1">
        <v>45929</v>
      </c>
      <c r="B639" t="s">
        <v>7</v>
      </c>
      <c r="C639">
        <v>633.38509944712837</v>
      </c>
    </row>
    <row r="640" spans="1:3" x14ac:dyDescent="0.4">
      <c r="A640" s="1">
        <v>45930</v>
      </c>
      <c r="B640" t="s">
        <v>7</v>
      </c>
      <c r="C640">
        <v>633.78260475259049</v>
      </c>
    </row>
    <row r="641" spans="1:3" x14ac:dyDescent="0.4">
      <c r="A641" s="1">
        <v>45931</v>
      </c>
      <c r="B641" t="s">
        <v>7</v>
      </c>
      <c r="C641">
        <v>634.18035952787443</v>
      </c>
    </row>
    <row r="642" spans="1:3" x14ac:dyDescent="0.4">
      <c r="A642" s="1">
        <v>45932</v>
      </c>
      <c r="B642" t="s">
        <v>7</v>
      </c>
      <c r="C642">
        <v>634.57836392954459</v>
      </c>
    </row>
    <row r="643" spans="1:3" x14ac:dyDescent="0.4">
      <c r="A643" s="1">
        <v>45933</v>
      </c>
      <c r="B643" t="s">
        <v>7</v>
      </c>
      <c r="C643">
        <v>634.9766181142636</v>
      </c>
    </row>
    <row r="644" spans="1:3" x14ac:dyDescent="0.4">
      <c r="A644" s="1">
        <v>45934</v>
      </c>
      <c r="B644" t="s">
        <v>7</v>
      </c>
      <c r="C644">
        <v>635.37512223879253</v>
      </c>
    </row>
    <row r="645" spans="1:3" x14ac:dyDescent="0.4">
      <c r="A645" s="1">
        <v>45935</v>
      </c>
      <c r="B645" t="s">
        <v>7</v>
      </c>
      <c r="C645">
        <v>635.77387645999079</v>
      </c>
    </row>
    <row r="646" spans="1:3" x14ac:dyDescent="0.4">
      <c r="A646" s="1">
        <v>45936</v>
      </c>
      <c r="B646" t="s">
        <v>7</v>
      </c>
      <c r="C646">
        <v>636.17288093481613</v>
      </c>
    </row>
    <row r="647" spans="1:3" x14ac:dyDescent="0.4">
      <c r="A647" s="1">
        <v>45937</v>
      </c>
      <c r="B647" t="s">
        <v>7</v>
      </c>
      <c r="C647">
        <v>636.57213582032489</v>
      </c>
    </row>
    <row r="648" spans="1:3" x14ac:dyDescent="0.4">
      <c r="A648" s="1">
        <v>45938</v>
      </c>
      <c r="B648" t="s">
        <v>7</v>
      </c>
      <c r="C648">
        <v>636.97164127367205</v>
      </c>
    </row>
    <row r="649" spans="1:3" x14ac:dyDescent="0.4">
      <c r="A649" s="1">
        <v>45939</v>
      </c>
      <c r="B649" t="s">
        <v>7</v>
      </c>
      <c r="C649">
        <v>637.37139745211107</v>
      </c>
    </row>
    <row r="650" spans="1:3" x14ac:dyDescent="0.4">
      <c r="A650" s="1">
        <v>45940</v>
      </c>
      <c r="B650" t="s">
        <v>7</v>
      </c>
      <c r="C650">
        <v>637.7714045129942</v>
      </c>
    </row>
    <row r="651" spans="1:3" x14ac:dyDescent="0.4">
      <c r="A651" s="1">
        <v>45941</v>
      </c>
      <c r="B651" t="s">
        <v>7</v>
      </c>
      <c r="C651">
        <v>638.17166261377247</v>
      </c>
    </row>
    <row r="652" spans="1:3" x14ac:dyDescent="0.4">
      <c r="A652" s="1">
        <v>45942</v>
      </c>
      <c r="B652" t="s">
        <v>7</v>
      </c>
      <c r="C652">
        <v>638.57217191199561</v>
      </c>
    </row>
    <row r="653" spans="1:3" x14ac:dyDescent="0.4">
      <c r="A653" s="1">
        <v>45943</v>
      </c>
      <c r="B653" t="s">
        <v>7</v>
      </c>
      <c r="C653">
        <v>638.97293256531236</v>
      </c>
    </row>
    <row r="654" spans="1:3" x14ac:dyDescent="0.4">
      <c r="A654" s="1">
        <v>45944</v>
      </c>
      <c r="B654" t="s">
        <v>7</v>
      </c>
      <c r="C654">
        <v>639.37394473147026</v>
      </c>
    </row>
    <row r="655" spans="1:3" x14ac:dyDescent="0.4">
      <c r="A655" s="1">
        <v>45945</v>
      </c>
      <c r="B655" t="s">
        <v>7</v>
      </c>
      <c r="C655">
        <v>639.77520856831597</v>
      </c>
    </row>
    <row r="656" spans="1:3" x14ac:dyDescent="0.4">
      <c r="A656" s="1">
        <v>45946</v>
      </c>
      <c r="B656" t="s">
        <v>7</v>
      </c>
      <c r="C656">
        <v>640.2042605436925</v>
      </c>
    </row>
    <row r="657" spans="1:3" x14ac:dyDescent="0.4">
      <c r="A657" s="1">
        <v>45947</v>
      </c>
      <c r="B657" t="s">
        <v>7</v>
      </c>
      <c r="C657">
        <v>640.63360025387829</v>
      </c>
    </row>
    <row r="658" spans="1:3" x14ac:dyDescent="0.4">
      <c r="A658" s="1">
        <v>45948</v>
      </c>
      <c r="B658" t="s">
        <v>7</v>
      </c>
      <c r="C658">
        <v>641.06322789183662</v>
      </c>
    </row>
    <row r="659" spans="1:3" x14ac:dyDescent="0.4">
      <c r="A659" s="1">
        <v>45949</v>
      </c>
      <c r="B659" t="s">
        <v>7</v>
      </c>
      <c r="C659">
        <v>641.49314365066039</v>
      </c>
    </row>
    <row r="660" spans="1:3" x14ac:dyDescent="0.4">
      <c r="A660" s="1">
        <v>45950</v>
      </c>
      <c r="B660" t="s">
        <v>7</v>
      </c>
      <c r="C660">
        <v>641.92334772357174</v>
      </c>
    </row>
    <row r="661" spans="1:3" x14ac:dyDescent="0.4">
      <c r="A661" s="1">
        <v>45951</v>
      </c>
      <c r="B661" t="s">
        <v>7</v>
      </c>
      <c r="C661">
        <v>642.35384030392265</v>
      </c>
    </row>
    <row r="662" spans="1:3" x14ac:dyDescent="0.4">
      <c r="A662" s="1">
        <v>45952</v>
      </c>
      <c r="B662" t="s">
        <v>7</v>
      </c>
      <c r="C662">
        <v>642.7846215851946</v>
      </c>
    </row>
    <row r="663" spans="1:3" x14ac:dyDescent="0.4">
      <c r="A663" s="1">
        <v>45953</v>
      </c>
      <c r="B663" t="s">
        <v>7</v>
      </c>
      <c r="C663">
        <v>643.21569176099888</v>
      </c>
    </row>
    <row r="664" spans="1:3" x14ac:dyDescent="0.4">
      <c r="A664" s="1">
        <v>45954</v>
      </c>
      <c r="B664" t="s">
        <v>7</v>
      </c>
      <c r="C664">
        <v>643.64705102507662</v>
      </c>
    </row>
    <row r="665" spans="1:3" x14ac:dyDescent="0.4">
      <c r="A665" s="1">
        <v>45955</v>
      </c>
      <c r="B665" t="s">
        <v>7</v>
      </c>
      <c r="C665">
        <v>644.0786995712989</v>
      </c>
    </row>
    <row r="666" spans="1:3" x14ac:dyDescent="0.4">
      <c r="A666" s="1">
        <v>45956</v>
      </c>
      <c r="B666" t="s">
        <v>7</v>
      </c>
      <c r="C666">
        <v>644.51063759366684</v>
      </c>
    </row>
    <row r="667" spans="1:3" x14ac:dyDescent="0.4">
      <c r="A667" s="1">
        <v>45957</v>
      </c>
      <c r="B667" t="s">
        <v>7</v>
      </c>
      <c r="C667">
        <v>644.94286528631153</v>
      </c>
    </row>
    <row r="668" spans="1:3" x14ac:dyDescent="0.4">
      <c r="A668" s="1">
        <v>45958</v>
      </c>
      <c r="B668" t="s">
        <v>7</v>
      </c>
      <c r="C668">
        <v>645.37538284349432</v>
      </c>
    </row>
    <row r="669" spans="1:3" x14ac:dyDescent="0.4">
      <c r="A669" s="1">
        <v>45959</v>
      </c>
      <c r="B669" t="s">
        <v>7</v>
      </c>
      <c r="C669">
        <v>645.80819045960686</v>
      </c>
    </row>
    <row r="670" spans="1:3" x14ac:dyDescent="0.4">
      <c r="A670" s="1">
        <v>45960</v>
      </c>
      <c r="B670" t="s">
        <v>7</v>
      </c>
      <c r="C670">
        <v>646.2412883291712</v>
      </c>
    </row>
    <row r="671" spans="1:3" x14ac:dyDescent="0.4">
      <c r="A671" s="1">
        <v>45961</v>
      </c>
      <c r="B671" t="s">
        <v>7</v>
      </c>
      <c r="C671">
        <v>646.67467664683977</v>
      </c>
    </row>
    <row r="672" spans="1:3" x14ac:dyDescent="0.4">
      <c r="A672" s="1">
        <v>45962</v>
      </c>
      <c r="B672" t="s">
        <v>7</v>
      </c>
      <c r="C672">
        <v>647.10835560739565</v>
      </c>
    </row>
    <row r="673" spans="1:3" x14ac:dyDescent="0.4">
      <c r="A673" s="1">
        <v>45963</v>
      </c>
      <c r="B673" t="s">
        <v>7</v>
      </c>
      <c r="C673">
        <v>647.54232540575242</v>
      </c>
    </row>
    <row r="674" spans="1:3" x14ac:dyDescent="0.4">
      <c r="A674" s="1">
        <v>45964</v>
      </c>
      <c r="B674" t="s">
        <v>7</v>
      </c>
      <c r="C674">
        <v>647.97658623695429</v>
      </c>
    </row>
    <row r="675" spans="1:3" x14ac:dyDescent="0.4">
      <c r="A675" s="1">
        <v>45965</v>
      </c>
      <c r="B675" t="s">
        <v>7</v>
      </c>
      <c r="C675">
        <v>648.41113829617655</v>
      </c>
    </row>
    <row r="676" spans="1:3" x14ac:dyDescent="0.4">
      <c r="A676" s="1">
        <v>45966</v>
      </c>
      <c r="B676" t="s">
        <v>7</v>
      </c>
      <c r="C676">
        <v>648.84598177872522</v>
      </c>
    </row>
    <row r="677" spans="1:3" x14ac:dyDescent="0.4">
      <c r="A677" s="1">
        <v>45967</v>
      </c>
      <c r="B677" t="s">
        <v>7</v>
      </c>
      <c r="C677">
        <v>649.28111688003719</v>
      </c>
    </row>
    <row r="678" spans="1:3" x14ac:dyDescent="0.4">
      <c r="A678" s="1">
        <v>45968</v>
      </c>
      <c r="B678" t="s">
        <v>7</v>
      </c>
      <c r="C678">
        <v>649.71654379568065</v>
      </c>
    </row>
    <row r="679" spans="1:3" x14ac:dyDescent="0.4">
      <c r="A679" s="1">
        <v>45969</v>
      </c>
      <c r="B679" t="s">
        <v>7</v>
      </c>
      <c r="C679">
        <v>650.15226272135487</v>
      </c>
    </row>
    <row r="680" spans="1:3" x14ac:dyDescent="0.4">
      <c r="A680" s="1">
        <v>45970</v>
      </c>
      <c r="B680" t="s">
        <v>7</v>
      </c>
      <c r="C680">
        <v>650.58827385289021</v>
      </c>
    </row>
    <row r="681" spans="1:3" x14ac:dyDescent="0.4">
      <c r="A681" s="1">
        <v>45971</v>
      </c>
      <c r="B681" t="s">
        <v>7</v>
      </c>
      <c r="C681">
        <v>651.02457738624855</v>
      </c>
    </row>
    <row r="682" spans="1:3" x14ac:dyDescent="0.4">
      <c r="A682" s="1">
        <v>45972</v>
      </c>
      <c r="B682" t="s">
        <v>7</v>
      </c>
      <c r="C682">
        <v>651.46117351752298</v>
      </c>
    </row>
    <row r="683" spans="1:3" x14ac:dyDescent="0.4">
      <c r="A683" s="1">
        <v>45973</v>
      </c>
      <c r="B683" t="s">
        <v>7</v>
      </c>
      <c r="C683">
        <v>651.89806244293834</v>
      </c>
    </row>
    <row r="684" spans="1:3" x14ac:dyDescent="0.4">
      <c r="A684" s="1">
        <v>45974</v>
      </c>
      <c r="B684" t="s">
        <v>7</v>
      </c>
      <c r="C684">
        <v>652.3352443588509</v>
      </c>
    </row>
    <row r="685" spans="1:3" x14ac:dyDescent="0.4">
      <c r="A685" s="1">
        <v>45975</v>
      </c>
      <c r="B685" t="s">
        <v>7</v>
      </c>
      <c r="C685">
        <v>652.77271946174869</v>
      </c>
    </row>
    <row r="686" spans="1:3" x14ac:dyDescent="0.4">
      <c r="A686" s="1">
        <v>45976</v>
      </c>
      <c r="B686" t="s">
        <v>7</v>
      </c>
      <c r="C686">
        <v>653.21048794825151</v>
      </c>
    </row>
    <row r="687" spans="1:3" x14ac:dyDescent="0.4">
      <c r="A687" s="1">
        <v>45977</v>
      </c>
      <c r="B687" t="s">
        <v>7</v>
      </c>
      <c r="C687">
        <v>653.70579802212092</v>
      </c>
    </row>
    <row r="688" spans="1:3" x14ac:dyDescent="0.4">
      <c r="A688" s="1">
        <v>45978</v>
      </c>
      <c r="B688" t="s">
        <v>7</v>
      </c>
      <c r="C688">
        <v>654.20148367487923</v>
      </c>
    </row>
    <row r="689" spans="1:3" x14ac:dyDescent="0.4">
      <c r="A689" s="1">
        <v>45979</v>
      </c>
      <c r="B689" t="s">
        <v>7</v>
      </c>
      <c r="C689">
        <v>654.69754519131664</v>
      </c>
    </row>
    <row r="690" spans="1:3" x14ac:dyDescent="0.4">
      <c r="A690" s="1">
        <v>45980</v>
      </c>
      <c r="B690" t="s">
        <v>7</v>
      </c>
      <c r="C690">
        <v>655.19398285643956</v>
      </c>
    </row>
    <row r="691" spans="1:3" x14ac:dyDescent="0.4">
      <c r="A691" s="1">
        <v>45981</v>
      </c>
      <c r="B691" t="s">
        <v>7</v>
      </c>
      <c r="C691">
        <v>655.6907969554702</v>
      </c>
    </row>
    <row r="692" spans="1:3" x14ac:dyDescent="0.4">
      <c r="A692" s="1">
        <v>45982</v>
      </c>
      <c r="B692" t="s">
        <v>7</v>
      </c>
      <c r="C692">
        <v>656.18798777384723</v>
      </c>
    </row>
    <row r="693" spans="1:3" x14ac:dyDescent="0.4">
      <c r="A693" s="1">
        <v>45983</v>
      </c>
      <c r="B693" t="s">
        <v>7</v>
      </c>
      <c r="C693">
        <v>656.68555559722574</v>
      </c>
    </row>
    <row r="694" spans="1:3" x14ac:dyDescent="0.4">
      <c r="A694" s="1">
        <v>45984</v>
      </c>
      <c r="B694" t="s">
        <v>7</v>
      </c>
      <c r="C694">
        <v>657.18350071147745</v>
      </c>
    </row>
    <row r="695" spans="1:3" x14ac:dyDescent="0.4">
      <c r="A695" s="1">
        <v>45985</v>
      </c>
      <c r="B695" t="s">
        <v>7</v>
      </c>
      <c r="C695">
        <v>657.68182340269072</v>
      </c>
    </row>
    <row r="696" spans="1:3" x14ac:dyDescent="0.4">
      <c r="A696" s="1">
        <v>45986</v>
      </c>
      <c r="B696" t="s">
        <v>7</v>
      </c>
      <c r="C696">
        <v>658.18052395717098</v>
      </c>
    </row>
    <row r="697" spans="1:3" x14ac:dyDescent="0.4">
      <c r="A697" s="1">
        <v>45987</v>
      </c>
      <c r="B697" t="s">
        <v>7</v>
      </c>
      <c r="C697">
        <v>658.67960266144064</v>
      </c>
    </row>
    <row r="698" spans="1:3" x14ac:dyDescent="0.4">
      <c r="A698" s="1">
        <v>45988</v>
      </c>
      <c r="B698" t="s">
        <v>7</v>
      </c>
      <c r="C698">
        <v>659.17905980223952</v>
      </c>
    </row>
    <row r="699" spans="1:3" x14ac:dyDescent="0.4">
      <c r="A699" s="1">
        <v>45989</v>
      </c>
      <c r="B699" t="s">
        <v>7</v>
      </c>
      <c r="C699">
        <v>659.6788956665248</v>
      </c>
    </row>
    <row r="700" spans="1:3" x14ac:dyDescent="0.4">
      <c r="A700" s="1">
        <v>45990</v>
      </c>
      <c r="B700" t="s">
        <v>7</v>
      </c>
      <c r="C700">
        <v>660.17911054147112</v>
      </c>
    </row>
    <row r="701" spans="1:3" x14ac:dyDescent="0.4">
      <c r="A701" s="1">
        <v>45991</v>
      </c>
      <c r="B701" t="s">
        <v>7</v>
      </c>
      <c r="C701">
        <v>660.67970471447097</v>
      </c>
    </row>
    <row r="702" spans="1:3" x14ac:dyDescent="0.4">
      <c r="A702" s="1">
        <v>45992</v>
      </c>
      <c r="B702" t="s">
        <v>7</v>
      </c>
      <c r="C702">
        <v>661.18067847313489</v>
      </c>
    </row>
    <row r="703" spans="1:3" x14ac:dyDescent="0.4">
      <c r="A703" s="1">
        <v>45993</v>
      </c>
      <c r="B703" t="s">
        <v>7</v>
      </c>
      <c r="C703">
        <v>661.68203210529134</v>
      </c>
    </row>
    <row r="704" spans="1:3" x14ac:dyDescent="0.4">
      <c r="A704" s="1">
        <v>45994</v>
      </c>
      <c r="B704" t="s">
        <v>7</v>
      </c>
      <c r="C704">
        <v>662.18376589898708</v>
      </c>
    </row>
    <row r="705" spans="1:3" x14ac:dyDescent="0.4">
      <c r="A705" s="1">
        <v>45995</v>
      </c>
      <c r="B705" t="s">
        <v>7</v>
      </c>
      <c r="C705">
        <v>662.68588014248724</v>
      </c>
    </row>
    <row r="706" spans="1:3" x14ac:dyDescent="0.4">
      <c r="A706" s="1">
        <v>45996</v>
      </c>
      <c r="B706" t="s">
        <v>7</v>
      </c>
      <c r="C706">
        <v>663.18837512427569</v>
      </c>
    </row>
    <row r="707" spans="1:3" x14ac:dyDescent="0.4">
      <c r="A707" s="1">
        <v>45997</v>
      </c>
      <c r="B707" t="s">
        <v>7</v>
      </c>
      <c r="C707">
        <v>663.69125113305483</v>
      </c>
    </row>
    <row r="708" spans="1:3" x14ac:dyDescent="0.4">
      <c r="A708" s="1">
        <v>45998</v>
      </c>
      <c r="B708" t="s">
        <v>7</v>
      </c>
      <c r="C708">
        <v>664.19450845774622</v>
      </c>
    </row>
    <row r="709" spans="1:3" x14ac:dyDescent="0.4">
      <c r="A709" s="1">
        <v>45999</v>
      </c>
      <c r="B709" t="s">
        <v>7</v>
      </c>
      <c r="C709">
        <v>664.69814738749028</v>
      </c>
    </row>
    <row r="710" spans="1:3" x14ac:dyDescent="0.4">
      <c r="A710" s="1">
        <v>46000</v>
      </c>
      <c r="B710" t="s">
        <v>7</v>
      </c>
      <c r="C710">
        <v>665.20216821164672</v>
      </c>
    </row>
    <row r="711" spans="1:3" x14ac:dyDescent="0.4">
      <c r="A711" s="1">
        <v>46001</v>
      </c>
      <c r="B711" t="s">
        <v>7</v>
      </c>
      <c r="C711">
        <v>665.7065712197948</v>
      </c>
    </row>
    <row r="712" spans="1:3" x14ac:dyDescent="0.4">
      <c r="A712" s="1">
        <v>46002</v>
      </c>
      <c r="B712" t="s">
        <v>7</v>
      </c>
      <c r="C712">
        <v>666.21135670173328</v>
      </c>
    </row>
    <row r="713" spans="1:3" x14ac:dyDescent="0.4">
      <c r="A713" s="1">
        <v>46003</v>
      </c>
      <c r="B713" t="s">
        <v>7</v>
      </c>
      <c r="C713">
        <v>666.71652494748059</v>
      </c>
    </row>
    <row r="714" spans="1:3" x14ac:dyDescent="0.4">
      <c r="A714" s="1">
        <v>46004</v>
      </c>
      <c r="B714" t="s">
        <v>7</v>
      </c>
      <c r="C714">
        <v>667.22207624727514</v>
      </c>
    </row>
    <row r="715" spans="1:3" x14ac:dyDescent="0.4">
      <c r="A715" s="1">
        <v>46005</v>
      </c>
      <c r="B715" t="s">
        <v>7</v>
      </c>
      <c r="C715">
        <v>667.72801089157542</v>
      </c>
    </row>
    <row r="716" spans="1:3" x14ac:dyDescent="0.4">
      <c r="A716" s="1">
        <v>46006</v>
      </c>
      <c r="B716" t="s">
        <v>7</v>
      </c>
      <c r="C716">
        <v>668.23432917106015</v>
      </c>
    </row>
    <row r="717" spans="1:3" x14ac:dyDescent="0.4">
      <c r="A717" s="1">
        <v>46007</v>
      </c>
      <c r="B717" t="s">
        <v>7</v>
      </c>
      <c r="C717">
        <v>668.7668138406043</v>
      </c>
    </row>
    <row r="718" spans="1:3" x14ac:dyDescent="0.4">
      <c r="A718" s="1">
        <v>46008</v>
      </c>
      <c r="B718" t="s">
        <v>7</v>
      </c>
      <c r="C718">
        <v>669.29972282226606</v>
      </c>
    </row>
    <row r="719" spans="1:3" x14ac:dyDescent="0.4">
      <c r="A719" s="1">
        <v>46009</v>
      </c>
      <c r="B719" t="s">
        <v>7</v>
      </c>
      <c r="C719">
        <v>669.83305645415999</v>
      </c>
    </row>
    <row r="720" spans="1:3" x14ac:dyDescent="0.4">
      <c r="A720" s="1">
        <v>46010</v>
      </c>
      <c r="B720" t="s">
        <v>7</v>
      </c>
      <c r="C720">
        <v>670.36681507466994</v>
      </c>
    </row>
    <row r="721" spans="1:3" x14ac:dyDescent="0.4">
      <c r="A721" s="1">
        <v>46011</v>
      </c>
      <c r="B721" t="s">
        <v>7</v>
      </c>
      <c r="C721">
        <v>670.90099902244947</v>
      </c>
    </row>
    <row r="722" spans="1:3" x14ac:dyDescent="0.4">
      <c r="A722" s="1">
        <v>46012</v>
      </c>
      <c r="B722" t="s">
        <v>7</v>
      </c>
      <c r="C722">
        <v>671.43560863642199</v>
      </c>
    </row>
    <row r="723" spans="1:3" x14ac:dyDescent="0.4">
      <c r="A723" s="1">
        <v>46013</v>
      </c>
      <c r="B723" t="s">
        <v>7</v>
      </c>
      <c r="C723">
        <v>671.97064425578094</v>
      </c>
    </row>
    <row r="724" spans="1:3" x14ac:dyDescent="0.4">
      <c r="A724" s="1">
        <v>46014</v>
      </c>
      <c r="B724" t="s">
        <v>7</v>
      </c>
      <c r="C724">
        <v>672.5061062199901</v>
      </c>
    </row>
    <row r="725" spans="1:3" x14ac:dyDescent="0.4">
      <c r="A725" s="1">
        <v>46015</v>
      </c>
      <c r="B725" t="s">
        <v>7</v>
      </c>
      <c r="C725">
        <v>673.04199486878372</v>
      </c>
    </row>
    <row r="726" spans="1:3" x14ac:dyDescent="0.4">
      <c r="A726" s="1">
        <v>46016</v>
      </c>
      <c r="B726" t="s">
        <v>7</v>
      </c>
      <c r="C726">
        <v>673.57831054216672</v>
      </c>
    </row>
    <row r="727" spans="1:3" x14ac:dyDescent="0.4">
      <c r="A727" s="1">
        <v>46017</v>
      </c>
      <c r="B727" t="s">
        <v>7</v>
      </c>
      <c r="C727">
        <v>674.11505358041506</v>
      </c>
    </row>
    <row r="728" spans="1:3" x14ac:dyDescent="0.4">
      <c r="A728" s="1">
        <v>46018</v>
      </c>
      <c r="B728" t="s">
        <v>7</v>
      </c>
      <c r="C728">
        <v>674.65222432407586</v>
      </c>
    </row>
    <row r="729" spans="1:3" x14ac:dyDescent="0.4">
      <c r="A729" s="1">
        <v>46019</v>
      </c>
      <c r="B729" t="s">
        <v>7</v>
      </c>
      <c r="C729">
        <v>675.18982311396746</v>
      </c>
    </row>
    <row r="730" spans="1:3" x14ac:dyDescent="0.4">
      <c r="A730" s="1">
        <v>46020</v>
      </c>
      <c r="B730" t="s">
        <v>7</v>
      </c>
      <c r="C730">
        <v>675.72785029117995</v>
      </c>
    </row>
    <row r="731" spans="1:3" x14ac:dyDescent="0.4">
      <c r="A731" s="1">
        <v>46021</v>
      </c>
      <c r="B731" t="s">
        <v>7</v>
      </c>
      <c r="C731">
        <v>676.2663061970751</v>
      </c>
    </row>
    <row r="732" spans="1:3" x14ac:dyDescent="0.4">
      <c r="A732" s="1">
        <v>46022</v>
      </c>
      <c r="B732" t="s">
        <v>7</v>
      </c>
      <c r="C732">
        <v>676.80519117328674</v>
      </c>
    </row>
    <row r="733" spans="1:3" x14ac:dyDescent="0.4">
      <c r="A733" s="1">
        <v>46023</v>
      </c>
      <c r="B733" t="s">
        <v>7</v>
      </c>
      <c r="C733">
        <v>677.34450556172101</v>
      </c>
    </row>
    <row r="734" spans="1:3" x14ac:dyDescent="0.4">
      <c r="A734" s="1">
        <v>46024</v>
      </c>
      <c r="B734" t="s">
        <v>7</v>
      </c>
      <c r="C734">
        <v>677.88424970455628</v>
      </c>
    </row>
    <row r="735" spans="1:3" x14ac:dyDescent="0.4">
      <c r="A735" s="1">
        <v>46025</v>
      </c>
      <c r="B735" t="s">
        <v>7</v>
      </c>
      <c r="C735">
        <v>678.42442394424381</v>
      </c>
    </row>
    <row r="736" spans="1:3" x14ac:dyDescent="0.4">
      <c r="A736" s="1">
        <v>46026</v>
      </c>
      <c r="B736" t="s">
        <v>7</v>
      </c>
      <c r="C736">
        <v>678.96502862350769</v>
      </c>
    </row>
    <row r="737" spans="1:3" x14ac:dyDescent="0.4">
      <c r="A737" s="1">
        <v>46027</v>
      </c>
      <c r="B737" t="s">
        <v>7</v>
      </c>
      <c r="C737">
        <v>679.50606408534497</v>
      </c>
    </row>
    <row r="738" spans="1:3" x14ac:dyDescent="0.4">
      <c r="A738" s="1">
        <v>46028</v>
      </c>
      <c r="B738" t="s">
        <v>7</v>
      </c>
      <c r="C738">
        <v>680.04753067302624</v>
      </c>
    </row>
    <row r="739" spans="1:3" x14ac:dyDescent="0.4">
      <c r="A739" s="1">
        <v>46029</v>
      </c>
      <c r="B739" t="s">
        <v>7</v>
      </c>
      <c r="C739">
        <v>680.58942873009539</v>
      </c>
    </row>
    <row r="740" spans="1:3" x14ac:dyDescent="0.4">
      <c r="A740" s="1">
        <v>46030</v>
      </c>
      <c r="B740" t="s">
        <v>7</v>
      </c>
      <c r="C740">
        <v>681.13175860037029</v>
      </c>
    </row>
    <row r="741" spans="1:3" x14ac:dyDescent="0.4">
      <c r="A741" s="1">
        <v>46031</v>
      </c>
      <c r="B741" t="s">
        <v>7</v>
      </c>
      <c r="C741">
        <v>681.67452062794268</v>
      </c>
    </row>
    <row r="742" spans="1:3" x14ac:dyDescent="0.4">
      <c r="A742" s="1">
        <v>46032</v>
      </c>
      <c r="B742" t="s">
        <v>7</v>
      </c>
      <c r="C742">
        <v>682.21771515717842</v>
      </c>
    </row>
    <row r="743" spans="1:3" x14ac:dyDescent="0.4">
      <c r="A743" s="1">
        <v>46033</v>
      </c>
      <c r="B743" t="s">
        <v>7</v>
      </c>
      <c r="C743">
        <v>682.76134253271789</v>
      </c>
    </row>
    <row r="744" spans="1:3" x14ac:dyDescent="0.4">
      <c r="A744" s="1">
        <v>46034</v>
      </c>
      <c r="B744" t="s">
        <v>7</v>
      </c>
      <c r="C744">
        <v>683.30540309947605</v>
      </c>
    </row>
    <row r="745" spans="1:3" x14ac:dyDescent="0.4">
      <c r="A745" s="1">
        <v>46035</v>
      </c>
      <c r="B745" t="s">
        <v>7</v>
      </c>
      <c r="C745">
        <v>683.84989720264264</v>
      </c>
    </row>
    <row r="746" spans="1:3" x14ac:dyDescent="0.4">
      <c r="A746" s="1">
        <v>46036</v>
      </c>
      <c r="B746" t="s">
        <v>7</v>
      </c>
      <c r="C746">
        <v>684.39482518768261</v>
      </c>
    </row>
    <row r="747" spans="1:3" x14ac:dyDescent="0.4">
      <c r="A747" s="1">
        <v>46037</v>
      </c>
      <c r="B747" t="s">
        <v>7</v>
      </c>
      <c r="C747">
        <v>684.94018740033619</v>
      </c>
    </row>
    <row r="748" spans="1:3" x14ac:dyDescent="0.4">
      <c r="A748" s="1">
        <v>46038</v>
      </c>
      <c r="B748" t="s">
        <v>7</v>
      </c>
      <c r="C748">
        <v>685.55061207520612</v>
      </c>
    </row>
    <row r="749" spans="1:3" x14ac:dyDescent="0.4">
      <c r="A749" s="1">
        <v>46039</v>
      </c>
      <c r="B749" t="s">
        <v>7</v>
      </c>
      <c r="C749">
        <v>686.16158076587556</v>
      </c>
    </row>
    <row r="750" spans="1:3" x14ac:dyDescent="0.4">
      <c r="A750" s="1">
        <v>46040</v>
      </c>
      <c r="B750" t="s">
        <v>7</v>
      </c>
      <c r="C750">
        <v>686.77309395717623</v>
      </c>
    </row>
    <row r="751" spans="1:3" x14ac:dyDescent="0.4">
      <c r="A751" s="1">
        <v>46041</v>
      </c>
      <c r="B751" t="s">
        <v>7</v>
      </c>
      <c r="C751">
        <v>687.38515213437176</v>
      </c>
    </row>
    <row r="752" spans="1:3" x14ac:dyDescent="0.4">
      <c r="A752" s="1">
        <v>46042</v>
      </c>
      <c r="B752" t="s">
        <v>7</v>
      </c>
      <c r="C752">
        <v>687.99775578315837</v>
      </c>
    </row>
    <row r="753" spans="1:3" x14ac:dyDescent="0.4">
      <c r="A753" s="1">
        <v>46043</v>
      </c>
      <c r="B753" t="s">
        <v>7</v>
      </c>
      <c r="C753">
        <v>688.61090538966505</v>
      </c>
    </row>
    <row r="754" spans="1:3" x14ac:dyDescent="0.4">
      <c r="A754" s="1">
        <v>46044</v>
      </c>
      <c r="B754" t="s">
        <v>7</v>
      </c>
      <c r="C754">
        <v>689.22460144045419</v>
      </c>
    </row>
    <row r="755" spans="1:3" x14ac:dyDescent="0.4">
      <c r="A755" s="1">
        <v>46045</v>
      </c>
      <c r="B755" t="s">
        <v>7</v>
      </c>
      <c r="C755">
        <v>689.83884442252167</v>
      </c>
    </row>
    <row r="756" spans="1:3" x14ac:dyDescent="0.4">
      <c r="A756" s="1">
        <v>46046</v>
      </c>
      <c r="B756" t="s">
        <v>7</v>
      </c>
      <c r="C756">
        <v>690.45363482329742</v>
      </c>
    </row>
    <row r="757" spans="1:3" x14ac:dyDescent="0.4">
      <c r="A757" s="1">
        <v>46047</v>
      </c>
      <c r="B757" t="s">
        <v>7</v>
      </c>
      <c r="C757">
        <v>691.06897313064576</v>
      </c>
    </row>
    <row r="758" spans="1:3" x14ac:dyDescent="0.4">
      <c r="A758" s="1">
        <v>46048</v>
      </c>
      <c r="B758" t="s">
        <v>7</v>
      </c>
      <c r="C758">
        <v>691.68485983286575</v>
      </c>
    </row>
    <row r="759" spans="1:3" x14ac:dyDescent="0.4">
      <c r="A759" s="1">
        <v>46049</v>
      </c>
      <c r="B759" t="s">
        <v>7</v>
      </c>
      <c r="C759">
        <v>692.30129541869178</v>
      </c>
    </row>
    <row r="760" spans="1:3" x14ac:dyDescent="0.4">
      <c r="A760" s="1">
        <v>46050</v>
      </c>
      <c r="B760" t="s">
        <v>7</v>
      </c>
      <c r="C760">
        <v>692.91828037729363</v>
      </c>
    </row>
    <row r="761" spans="1:3" x14ac:dyDescent="0.4">
      <c r="A761" s="1">
        <v>46051</v>
      </c>
      <c r="B761" t="s">
        <v>7</v>
      </c>
      <c r="C761">
        <v>693.53581519827719</v>
      </c>
    </row>
    <row r="762" spans="1:3" x14ac:dyDescent="0.4">
      <c r="A762" s="1">
        <v>46052</v>
      </c>
      <c r="B762" t="s">
        <v>7</v>
      </c>
      <c r="C762">
        <v>694.15390037168459</v>
      </c>
    </row>
    <row r="763" spans="1:3" x14ac:dyDescent="0.4">
      <c r="A763" s="1">
        <v>46053</v>
      </c>
      <c r="B763" t="s">
        <v>7</v>
      </c>
      <c r="C763">
        <v>694.77253638799471</v>
      </c>
    </row>
    <row r="764" spans="1:3" x14ac:dyDescent="0.4">
      <c r="A764" s="1">
        <v>46054</v>
      </c>
      <c r="B764" t="s">
        <v>7</v>
      </c>
      <c r="C764">
        <v>695.39172373812357</v>
      </c>
    </row>
    <row r="765" spans="1:3" x14ac:dyDescent="0.4">
      <c r="A765" s="1">
        <v>46055</v>
      </c>
      <c r="B765" t="s">
        <v>7</v>
      </c>
      <c r="C765">
        <v>696.01146291342468</v>
      </c>
    </row>
    <row r="766" spans="1:3" x14ac:dyDescent="0.4">
      <c r="A766" s="1">
        <v>46056</v>
      </c>
      <c r="B766" t="s">
        <v>7</v>
      </c>
      <c r="C766">
        <v>696.63175440568943</v>
      </c>
    </row>
    <row r="767" spans="1:3" x14ac:dyDescent="0.4">
      <c r="A767" s="1">
        <v>46057</v>
      </c>
      <c r="B767" t="s">
        <v>7</v>
      </c>
      <c r="C767">
        <v>697.25259870714751</v>
      </c>
    </row>
    <row r="768" spans="1:3" x14ac:dyDescent="0.4">
      <c r="A768" s="1">
        <v>46058</v>
      </c>
      <c r="B768" t="s">
        <v>7</v>
      </c>
      <c r="C768">
        <v>697.87399631046731</v>
      </c>
    </row>
    <row r="769" spans="1:3" x14ac:dyDescent="0.4">
      <c r="A769" s="1">
        <v>46059</v>
      </c>
      <c r="B769" t="s">
        <v>7</v>
      </c>
      <c r="C769">
        <v>698.49594770875638</v>
      </c>
    </row>
    <row r="770" spans="1:3" x14ac:dyDescent="0.4">
      <c r="A770" s="1">
        <v>46060</v>
      </c>
      <c r="B770" t="s">
        <v>7</v>
      </c>
      <c r="C770">
        <v>699.11845339556146</v>
      </c>
    </row>
    <row r="771" spans="1:3" x14ac:dyDescent="0.4">
      <c r="A771" s="1">
        <v>46061</v>
      </c>
      <c r="B771" t="s">
        <v>7</v>
      </c>
      <c r="C771">
        <v>699.74151386486938</v>
      </c>
    </row>
    <row r="772" spans="1:3" x14ac:dyDescent="0.4">
      <c r="A772" s="1">
        <v>46062</v>
      </c>
      <c r="B772" t="s">
        <v>7</v>
      </c>
      <c r="C772">
        <v>700.36512961110725</v>
      </c>
    </row>
    <row r="773" spans="1:3" x14ac:dyDescent="0.4">
      <c r="A773" s="1">
        <v>46063</v>
      </c>
      <c r="B773" t="s">
        <v>7</v>
      </c>
      <c r="C773">
        <v>700.98930112914263</v>
      </c>
    </row>
    <row r="774" spans="1:3" x14ac:dyDescent="0.4">
      <c r="A774" s="1">
        <v>46064</v>
      </c>
      <c r="B774" t="s">
        <v>7</v>
      </c>
      <c r="C774">
        <v>701.61402891428418</v>
      </c>
    </row>
    <row r="775" spans="1:3" x14ac:dyDescent="0.4">
      <c r="A775" s="1">
        <v>46065</v>
      </c>
      <c r="B775" t="s">
        <v>7</v>
      </c>
      <c r="C775">
        <v>702.23931346228198</v>
      </c>
    </row>
    <row r="776" spans="1:3" x14ac:dyDescent="0.4">
      <c r="A776" s="1">
        <v>46066</v>
      </c>
      <c r="B776" t="s">
        <v>7</v>
      </c>
      <c r="C776">
        <v>702.86515526932806</v>
      </c>
    </row>
    <row r="777" spans="1:3" x14ac:dyDescent="0.4">
      <c r="A777" s="1">
        <v>46067</v>
      </c>
      <c r="B777" t="s">
        <v>7</v>
      </c>
      <c r="C777">
        <v>703.49155483205641</v>
      </c>
    </row>
    <row r="778" spans="1:3" x14ac:dyDescent="0.4">
      <c r="A778" s="1">
        <v>46068</v>
      </c>
      <c r="B778" t="s">
        <v>7</v>
      </c>
      <c r="C778">
        <v>704.11851264754387</v>
      </c>
    </row>
    <row r="779" spans="1:3" x14ac:dyDescent="0.4">
      <c r="A779" s="1">
        <v>46069</v>
      </c>
      <c r="B779" t="s">
        <v>7</v>
      </c>
      <c r="C779">
        <v>704.83777110234871</v>
      </c>
    </row>
    <row r="780" spans="1:3" x14ac:dyDescent="0.4">
      <c r="A780" s="1">
        <v>46070</v>
      </c>
      <c r="B780" t="s">
        <v>7</v>
      </c>
      <c r="C780">
        <v>705.55776428108925</v>
      </c>
    </row>
    <row r="781" spans="1:3" x14ac:dyDescent="0.4">
      <c r="A781" s="1">
        <v>46071</v>
      </c>
      <c r="B781" t="s">
        <v>7</v>
      </c>
      <c r="C781">
        <v>706.27849293428744</v>
      </c>
    </row>
    <row r="782" spans="1:3" x14ac:dyDescent="0.4">
      <c r="A782" s="1">
        <v>46072</v>
      </c>
      <c r="B782" t="s">
        <v>7</v>
      </c>
      <c r="C782">
        <v>706.99995781323196</v>
      </c>
    </row>
    <row r="783" spans="1:3" x14ac:dyDescent="0.4">
      <c r="A783" s="1">
        <v>46073</v>
      </c>
      <c r="B783" t="s">
        <v>7</v>
      </c>
      <c r="C783">
        <v>707.72215966997874</v>
      </c>
    </row>
    <row r="784" spans="1:3" x14ac:dyDescent="0.4">
      <c r="A784" s="1">
        <v>46074</v>
      </c>
      <c r="B784" t="s">
        <v>7</v>
      </c>
      <c r="C784">
        <v>708.44509925735213</v>
      </c>
    </row>
    <row r="785" spans="1:3" x14ac:dyDescent="0.4">
      <c r="A785" s="1">
        <v>46075</v>
      </c>
      <c r="B785" t="s">
        <v>7</v>
      </c>
      <c r="C785">
        <v>709.16877732894545</v>
      </c>
    </row>
    <row r="786" spans="1:3" x14ac:dyDescent="0.4">
      <c r="A786" s="1">
        <v>46076</v>
      </c>
      <c r="B786" t="s">
        <v>7</v>
      </c>
      <c r="C786">
        <v>709.8931946391217</v>
      </c>
    </row>
    <row r="787" spans="1:3" x14ac:dyDescent="0.4">
      <c r="A787" s="1">
        <v>46077</v>
      </c>
      <c r="B787" t="s">
        <v>7</v>
      </c>
      <c r="C787">
        <v>710.61835194301466</v>
      </c>
    </row>
    <row r="788" spans="1:3" x14ac:dyDescent="0.4">
      <c r="A788" s="1">
        <v>46078</v>
      </c>
      <c r="B788" t="s">
        <v>7</v>
      </c>
      <c r="C788">
        <v>711.34424999652936</v>
      </c>
    </row>
    <row r="789" spans="1:3" x14ac:dyDescent="0.4">
      <c r="A789" s="1">
        <v>46079</v>
      </c>
      <c r="B789" t="s">
        <v>7</v>
      </c>
      <c r="C789">
        <v>712.07088955634299</v>
      </c>
    </row>
    <row r="790" spans="1:3" x14ac:dyDescent="0.4">
      <c r="A790" s="1">
        <v>46080</v>
      </c>
      <c r="B790" t="s">
        <v>7</v>
      </c>
      <c r="C790">
        <v>712.79827137990571</v>
      </c>
    </row>
    <row r="791" spans="1:3" x14ac:dyDescent="0.4">
      <c r="A791" s="1">
        <v>46081</v>
      </c>
      <c r="B791" t="s">
        <v>7</v>
      </c>
      <c r="C791">
        <v>713.52639622544132</v>
      </c>
    </row>
    <row r="792" spans="1:3" x14ac:dyDescent="0.4">
      <c r="A792" s="1">
        <v>46082</v>
      </c>
      <c r="B792" t="s">
        <v>7</v>
      </c>
      <c r="C792">
        <v>714.25526485194837</v>
      </c>
    </row>
    <row r="793" spans="1:3" x14ac:dyDescent="0.4">
      <c r="A793" s="1">
        <v>46083</v>
      </c>
      <c r="B793" t="s">
        <v>7</v>
      </c>
      <c r="C793">
        <v>714.98487801920055</v>
      </c>
    </row>
    <row r="794" spans="1:3" x14ac:dyDescent="0.4">
      <c r="A794" s="1">
        <v>46084</v>
      </c>
      <c r="B794" t="s">
        <v>7</v>
      </c>
      <c r="C794">
        <v>715.71523648774769</v>
      </c>
    </row>
    <row r="795" spans="1:3" x14ac:dyDescent="0.4">
      <c r="A795" s="1">
        <v>46085</v>
      </c>
      <c r="B795" t="s">
        <v>7</v>
      </c>
      <c r="C795">
        <v>716.44634101891654</v>
      </c>
    </row>
    <row r="796" spans="1:3" x14ac:dyDescent="0.4">
      <c r="A796" s="1">
        <v>46086</v>
      </c>
      <c r="B796" t="s">
        <v>7</v>
      </c>
      <c r="C796">
        <v>717.17819237481149</v>
      </c>
    </row>
    <row r="797" spans="1:3" x14ac:dyDescent="0.4">
      <c r="A797" s="1">
        <v>46087</v>
      </c>
      <c r="B797" t="s">
        <v>7</v>
      </c>
      <c r="C797">
        <v>717.91079131831555</v>
      </c>
    </row>
    <row r="798" spans="1:3" x14ac:dyDescent="0.4">
      <c r="A798" s="1">
        <v>46088</v>
      </c>
      <c r="B798" t="s">
        <v>7</v>
      </c>
      <c r="C798">
        <v>718.64413861309095</v>
      </c>
    </row>
    <row r="799" spans="1:3" x14ac:dyDescent="0.4">
      <c r="A799" s="1">
        <v>46089</v>
      </c>
      <c r="B799" t="s">
        <v>7</v>
      </c>
      <c r="C799">
        <v>719.37823502357992</v>
      </c>
    </row>
    <row r="800" spans="1:3" x14ac:dyDescent="0.4">
      <c r="A800" s="1">
        <v>46090</v>
      </c>
      <c r="B800" t="s">
        <v>7</v>
      </c>
      <c r="C800">
        <v>720.11308131500573</v>
      </c>
    </row>
    <row r="801" spans="1:3" x14ac:dyDescent="0.4">
      <c r="A801" s="1">
        <v>46091</v>
      </c>
      <c r="B801" t="s">
        <v>7</v>
      </c>
      <c r="C801">
        <v>720.84867825337324</v>
      </c>
    </row>
    <row r="802" spans="1:3" x14ac:dyDescent="0.4">
      <c r="A802" s="1">
        <v>46092</v>
      </c>
      <c r="B802" t="s">
        <v>7</v>
      </c>
      <c r="C802">
        <v>721.58502660546969</v>
      </c>
    </row>
    <row r="803" spans="1:3" x14ac:dyDescent="0.4">
      <c r="A803" s="1">
        <v>46093</v>
      </c>
      <c r="B803" t="s">
        <v>7</v>
      </c>
      <c r="C803">
        <v>722.32212713886577</v>
      </c>
    </row>
    <row r="804" spans="1:3" x14ac:dyDescent="0.4">
      <c r="A804" s="1">
        <v>46094</v>
      </c>
      <c r="B804" t="s">
        <v>7</v>
      </c>
      <c r="C804">
        <v>723.05998062191611</v>
      </c>
    </row>
    <row r="805" spans="1:3" x14ac:dyDescent="0.4">
      <c r="A805" s="1">
        <v>46095</v>
      </c>
      <c r="B805" t="s">
        <v>7</v>
      </c>
      <c r="C805">
        <v>723.79858782376039</v>
      </c>
    </row>
    <row r="806" spans="1:3" x14ac:dyDescent="0.4">
      <c r="A806" s="1">
        <v>46096</v>
      </c>
      <c r="B806" t="s">
        <v>7</v>
      </c>
      <c r="C806">
        <v>724.53794951432371</v>
      </c>
    </row>
    <row r="807" spans="1:3" x14ac:dyDescent="0.4">
      <c r="A807" s="1">
        <v>46097</v>
      </c>
      <c r="B807" t="s">
        <v>7</v>
      </c>
      <c r="C807">
        <v>725.20640921374923</v>
      </c>
    </row>
    <row r="808" spans="1:3" x14ac:dyDescent="0.4">
      <c r="A808" s="1">
        <v>46098</v>
      </c>
      <c r="B808" t="s">
        <v>7</v>
      </c>
      <c r="C808">
        <v>725.87548563500422</v>
      </c>
    </row>
    <row r="809" spans="1:3" x14ac:dyDescent="0.4">
      <c r="A809" s="1">
        <v>46099</v>
      </c>
      <c r="B809" t="s">
        <v>7</v>
      </c>
      <c r="C809">
        <v>726.54517934707712</v>
      </c>
    </row>
    <row r="810" spans="1:3" x14ac:dyDescent="0.4">
      <c r="A810" s="1">
        <v>46100</v>
      </c>
      <c r="B810" t="s">
        <v>7</v>
      </c>
      <c r="C810">
        <v>727.21549091948123</v>
      </c>
    </row>
    <row r="811" spans="1:3" x14ac:dyDescent="0.4">
      <c r="A811" s="1">
        <v>46101</v>
      </c>
      <c r="B811" t="s">
        <v>7</v>
      </c>
      <c r="C811">
        <v>727.88642092225541</v>
      </c>
    </row>
    <row r="812" spans="1:3" x14ac:dyDescent="0.4">
      <c r="A812" s="1">
        <v>46102</v>
      </c>
      <c r="B812" t="s">
        <v>7</v>
      </c>
      <c r="C812">
        <v>728.55796992596424</v>
      </c>
    </row>
    <row r="813" spans="1:3" x14ac:dyDescent="0.4">
      <c r="A813" s="1">
        <v>46103</v>
      </c>
      <c r="B813" t="s">
        <v>7</v>
      </c>
      <c r="C813">
        <v>729.230138501699</v>
      </c>
    </row>
    <row r="814" spans="1:3" x14ac:dyDescent="0.4">
      <c r="A814" s="1">
        <v>46104</v>
      </c>
      <c r="B814" t="s">
        <v>7</v>
      </c>
      <c r="C814">
        <v>729.90292722107756</v>
      </c>
    </row>
    <row r="815" spans="1:3" x14ac:dyDescent="0.4">
      <c r="A815" s="1">
        <v>46105</v>
      </c>
      <c r="B815" t="s">
        <v>7</v>
      </c>
      <c r="C815">
        <v>730.5763366562453</v>
      </c>
    </row>
    <row r="816" spans="1:3" x14ac:dyDescent="0.4">
      <c r="A816" s="1">
        <v>46106</v>
      </c>
      <c r="B816" t="s">
        <v>7</v>
      </c>
      <c r="C816">
        <v>731.25036737987546</v>
      </c>
    </row>
    <row r="817" spans="1:3" x14ac:dyDescent="0.4">
      <c r="A817" s="1">
        <v>46107</v>
      </c>
      <c r="B817" t="s">
        <v>7</v>
      </c>
      <c r="C817">
        <v>731.92501996516967</v>
      </c>
    </row>
    <row r="818" spans="1:3" x14ac:dyDescent="0.4">
      <c r="A818" s="1">
        <v>46108</v>
      </c>
      <c r="B818" t="s">
        <v>7</v>
      </c>
      <c r="C818">
        <v>732.60029498585823</v>
      </c>
    </row>
    <row r="819" spans="1:3" x14ac:dyDescent="0.4">
      <c r="A819" s="1">
        <v>46109</v>
      </c>
      <c r="B819" t="s">
        <v>7</v>
      </c>
      <c r="C819">
        <v>733.27619301620098</v>
      </c>
    </row>
    <row r="820" spans="1:3" x14ac:dyDescent="0.4">
      <c r="A820" s="1">
        <v>46110</v>
      </c>
      <c r="B820" t="s">
        <v>7</v>
      </c>
      <c r="C820">
        <v>733.95271463098743</v>
      </c>
    </row>
    <row r="821" spans="1:3" x14ac:dyDescent="0.4">
      <c r="A821" s="1">
        <v>46111</v>
      </c>
      <c r="B821" t="s">
        <v>7</v>
      </c>
      <c r="C821">
        <v>734.62986040553744</v>
      </c>
    </row>
    <row r="822" spans="1:3" x14ac:dyDescent="0.4">
      <c r="A822" s="1">
        <v>46112</v>
      </c>
      <c r="B822" t="s">
        <v>7</v>
      </c>
      <c r="C822">
        <v>735.30763091570168</v>
      </c>
    </row>
    <row r="823" spans="1:3" x14ac:dyDescent="0.4">
      <c r="A823" s="1">
        <v>46113</v>
      </c>
      <c r="B823" t="s">
        <v>7</v>
      </c>
      <c r="C823">
        <v>735.98602673786218</v>
      </c>
    </row>
    <row r="824" spans="1:3" x14ac:dyDescent="0.4">
      <c r="A824" s="1">
        <v>46114</v>
      </c>
      <c r="B824" t="s">
        <v>7</v>
      </c>
      <c r="C824">
        <v>736.66504844893245</v>
      </c>
    </row>
    <row r="825" spans="1:3" x14ac:dyDescent="0.4">
      <c r="A825" s="1">
        <v>46115</v>
      </c>
      <c r="B825" t="s">
        <v>7</v>
      </c>
      <c r="C825">
        <v>737.34469662635854</v>
      </c>
    </row>
    <row r="826" spans="1:3" x14ac:dyDescent="0.4">
      <c r="A826" s="1">
        <v>46116</v>
      </c>
      <c r="B826" t="s">
        <v>7</v>
      </c>
      <c r="C826">
        <v>738.02497184811921</v>
      </c>
    </row>
    <row r="827" spans="1:3" x14ac:dyDescent="0.4">
      <c r="A827" s="1">
        <v>46117</v>
      </c>
      <c r="B827" t="s">
        <v>7</v>
      </c>
      <c r="C827">
        <v>738.70587469272641</v>
      </c>
    </row>
    <row r="828" spans="1:3" x14ac:dyDescent="0.4">
      <c r="A828" s="1">
        <v>46118</v>
      </c>
      <c r="B828" t="s">
        <v>7</v>
      </c>
      <c r="C828">
        <v>739.38740573922576</v>
      </c>
    </row>
    <row r="829" spans="1:3" x14ac:dyDescent="0.4">
      <c r="A829" s="1">
        <v>46119</v>
      </c>
      <c r="B829" t="s">
        <v>7</v>
      </c>
      <c r="C829">
        <v>740.06956556719717</v>
      </c>
    </row>
    <row r="830" spans="1:3" x14ac:dyDescent="0.4">
      <c r="A830" s="1">
        <v>46120</v>
      </c>
      <c r="B830" t="s">
        <v>7</v>
      </c>
      <c r="C830">
        <v>740.75235475675538</v>
      </c>
    </row>
    <row r="831" spans="1:3" x14ac:dyDescent="0.4">
      <c r="A831" s="1">
        <v>46121</v>
      </c>
      <c r="B831" t="s">
        <v>7</v>
      </c>
      <c r="C831">
        <v>741.43577388855022</v>
      </c>
    </row>
    <row r="832" spans="1:3" x14ac:dyDescent="0.4">
      <c r="A832" s="1">
        <v>46122</v>
      </c>
      <c r="B832" t="s">
        <v>7</v>
      </c>
      <c r="C832">
        <v>742.11982354376721</v>
      </c>
    </row>
    <row r="833" spans="1:3" x14ac:dyDescent="0.4">
      <c r="A833" s="1">
        <v>46123</v>
      </c>
      <c r="B833" t="s">
        <v>7</v>
      </c>
      <c r="C833">
        <v>742.80450430412816</v>
      </c>
    </row>
    <row r="834" spans="1:3" x14ac:dyDescent="0.4">
      <c r="A834" s="1">
        <v>46124</v>
      </c>
      <c r="B834" t="s">
        <v>7</v>
      </c>
      <c r="C834">
        <v>743.48981675189145</v>
      </c>
    </row>
    <row r="835" spans="1:3" x14ac:dyDescent="0.4">
      <c r="A835" s="1">
        <v>46125</v>
      </c>
      <c r="B835" t="s">
        <v>7</v>
      </c>
      <c r="C835">
        <v>744.17576146985289</v>
      </c>
    </row>
    <row r="836" spans="1:3" x14ac:dyDescent="0.4">
      <c r="A836" s="1">
        <v>46126</v>
      </c>
      <c r="B836" t="s">
        <v>7</v>
      </c>
      <c r="C836">
        <v>744.86233904134565</v>
      </c>
    </row>
    <row r="837" spans="1:3" x14ac:dyDescent="0.4">
      <c r="A837" s="1">
        <v>46127</v>
      </c>
      <c r="B837" t="s">
        <v>7</v>
      </c>
      <c r="C837">
        <v>745.54955005024135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46C11-C809-4BEC-8359-44D5E5E7CF28}">
  <dimension ref="A1:AE524"/>
  <sheetViews>
    <sheetView topLeftCell="H502" workbookViewId="0">
      <selection activeCell="O515" sqref="O515"/>
    </sheetView>
  </sheetViews>
  <sheetFormatPr baseColWidth="10" defaultRowHeight="15" x14ac:dyDescent="0.4"/>
  <cols>
    <col min="1" max="1" width="10.5" bestFit="1" customWidth="1"/>
    <col min="2" max="2" width="14.4140625" bestFit="1" customWidth="1"/>
    <col min="3" max="4" width="14.58203125" bestFit="1" customWidth="1"/>
    <col min="5" max="6" width="15" bestFit="1" customWidth="1"/>
    <col min="7" max="7" width="14.33203125" bestFit="1" customWidth="1"/>
    <col min="8" max="8" width="14.6640625" bestFit="1" customWidth="1"/>
    <col min="9" max="9" width="14.08203125" bestFit="1" customWidth="1"/>
    <col min="10" max="10" width="14.33203125" bestFit="1" customWidth="1"/>
    <col min="11" max="11" width="14.75" bestFit="1" customWidth="1"/>
    <col min="12" max="12" width="14.1640625" bestFit="1" customWidth="1"/>
    <col min="13" max="13" width="14.25" bestFit="1" customWidth="1"/>
    <col min="14" max="14" width="14.33203125" bestFit="1" customWidth="1"/>
    <col min="15" max="15" width="14.4140625" bestFit="1" customWidth="1"/>
    <col min="16" max="16" width="14.1640625" bestFit="1" customWidth="1"/>
    <col min="17" max="19" width="12.6640625" bestFit="1" customWidth="1"/>
    <col min="20" max="21" width="12.83203125" bestFit="1" customWidth="1"/>
    <col min="22" max="22" width="12.1640625" bestFit="1" customWidth="1"/>
    <col min="23" max="23" width="12.5" bestFit="1" customWidth="1"/>
    <col min="24" max="24" width="11.9140625" bestFit="1" customWidth="1"/>
    <col min="25" max="25" width="12.1640625" bestFit="1" customWidth="1"/>
    <col min="26" max="26" width="12.6640625" bestFit="1" customWidth="1"/>
    <col min="27" max="27" width="12" bestFit="1" customWidth="1"/>
    <col min="28" max="28" width="12.08203125" bestFit="1" customWidth="1"/>
    <col min="29" max="29" width="12.1640625" bestFit="1" customWidth="1"/>
    <col min="30" max="30" width="12.6640625" bestFit="1" customWidth="1"/>
    <col min="31" max="31" width="12" bestFit="1" customWidth="1"/>
  </cols>
  <sheetData>
    <row r="1" spans="1:31" x14ac:dyDescent="0.4">
      <c r="A1" t="s">
        <v>0</v>
      </c>
      <c r="B1" t="s">
        <v>15</v>
      </c>
      <c r="C1" t="s">
        <v>1</v>
      </c>
      <c r="D1" t="s">
        <v>27</v>
      </c>
      <c r="E1" t="s">
        <v>16</v>
      </c>
      <c r="F1" t="s">
        <v>48</v>
      </c>
      <c r="G1" t="s">
        <v>2</v>
      </c>
      <c r="H1" t="s">
        <v>17</v>
      </c>
      <c r="I1" t="s">
        <v>18</v>
      </c>
      <c r="J1" t="s">
        <v>28</v>
      </c>
      <c r="K1" t="s">
        <v>19</v>
      </c>
      <c r="L1" t="s">
        <v>40</v>
      </c>
      <c r="M1" t="s">
        <v>49</v>
      </c>
      <c r="N1" t="s">
        <v>20</v>
      </c>
      <c r="O1" t="s">
        <v>41</v>
      </c>
      <c r="P1" t="s">
        <v>50</v>
      </c>
      <c r="Q1" t="s">
        <v>21</v>
      </c>
      <c r="R1" t="s">
        <v>3</v>
      </c>
      <c r="S1" t="s">
        <v>29</v>
      </c>
      <c r="T1" t="s">
        <v>22</v>
      </c>
      <c r="U1" t="s">
        <v>51</v>
      </c>
      <c r="V1" t="s">
        <v>4</v>
      </c>
      <c r="W1" t="s">
        <v>23</v>
      </c>
      <c r="X1" t="s">
        <v>24</v>
      </c>
      <c r="Y1" t="s">
        <v>30</v>
      </c>
      <c r="Z1" t="s">
        <v>25</v>
      </c>
      <c r="AA1" t="s">
        <v>42</v>
      </c>
      <c r="AB1" t="s">
        <v>52</v>
      </c>
      <c r="AC1" t="s">
        <v>26</v>
      </c>
      <c r="AD1" t="s">
        <v>43</v>
      </c>
      <c r="AE1" t="s">
        <v>53</v>
      </c>
    </row>
    <row r="2" spans="1:31" x14ac:dyDescent="0.4">
      <c r="A2" s="1">
        <v>45323</v>
      </c>
      <c r="B2">
        <v>111.4</v>
      </c>
      <c r="Q2">
        <v>-4.3203242948890899E-2</v>
      </c>
    </row>
    <row r="3" spans="1:31" x14ac:dyDescent="0.4">
      <c r="A3" s="1">
        <v>45324</v>
      </c>
      <c r="B3">
        <v>111.75</v>
      </c>
      <c r="Q3">
        <v>-4.1608168396270899E-2</v>
      </c>
    </row>
    <row r="4" spans="1:31" x14ac:dyDescent="0.4">
      <c r="A4" s="1">
        <v>45327</v>
      </c>
      <c r="B4">
        <v>116.25</v>
      </c>
      <c r="Q4">
        <v>-4.8613560211567097E-2</v>
      </c>
    </row>
    <row r="5" spans="1:31" x14ac:dyDescent="0.4">
      <c r="A5" s="1">
        <v>45328</v>
      </c>
      <c r="B5">
        <v>119.9</v>
      </c>
      <c r="Q5">
        <v>-5.7855735889651302E-2</v>
      </c>
    </row>
    <row r="6" spans="1:31" x14ac:dyDescent="0.4">
      <c r="A6" s="1">
        <v>45329</v>
      </c>
      <c r="B6">
        <v>121.75</v>
      </c>
      <c r="Q6">
        <v>-6.1013261773784501E-2</v>
      </c>
    </row>
    <row r="7" spans="1:31" x14ac:dyDescent="0.4">
      <c r="A7" s="1">
        <v>45330</v>
      </c>
      <c r="B7">
        <v>122</v>
      </c>
      <c r="Q7">
        <v>-5.9036010662865901E-2</v>
      </c>
    </row>
    <row r="8" spans="1:31" x14ac:dyDescent="0.4">
      <c r="A8" s="1">
        <v>45331</v>
      </c>
      <c r="B8">
        <v>121.4</v>
      </c>
      <c r="Q8">
        <v>-5.4328418644208003E-2</v>
      </c>
    </row>
    <row r="9" spans="1:31" x14ac:dyDescent="0.4">
      <c r="A9" s="1">
        <v>45334</v>
      </c>
      <c r="B9">
        <v>121.4</v>
      </c>
      <c r="Q9">
        <v>-4.58619357541213E-2</v>
      </c>
    </row>
    <row r="10" spans="1:31" x14ac:dyDescent="0.4">
      <c r="A10" s="1">
        <v>45335</v>
      </c>
      <c r="B10">
        <v>121.4</v>
      </c>
      <c r="Q10">
        <v>-4.3009681252747699E-2</v>
      </c>
    </row>
    <row r="11" spans="1:31" x14ac:dyDescent="0.4">
      <c r="A11" s="1">
        <v>45336</v>
      </c>
      <c r="B11">
        <v>120.5</v>
      </c>
      <c r="Q11">
        <v>-3.7172164158004901E-2</v>
      </c>
    </row>
    <row r="12" spans="1:31" x14ac:dyDescent="0.4">
      <c r="A12" s="1">
        <v>45337</v>
      </c>
      <c r="B12">
        <v>121</v>
      </c>
      <c r="Q12">
        <v>-3.5938222522319499E-2</v>
      </c>
    </row>
    <row r="13" spans="1:31" x14ac:dyDescent="0.4">
      <c r="A13" s="1">
        <v>45338</v>
      </c>
      <c r="B13">
        <v>121.9</v>
      </c>
      <c r="Q13">
        <v>-3.6012656830908998E-2</v>
      </c>
    </row>
    <row r="14" spans="1:31" x14ac:dyDescent="0.4">
      <c r="A14" s="1">
        <v>45341</v>
      </c>
      <c r="B14">
        <v>129.75</v>
      </c>
      <c r="Q14">
        <v>-5.22728515092745E-2</v>
      </c>
    </row>
    <row r="15" spans="1:31" x14ac:dyDescent="0.4">
      <c r="A15" s="1">
        <v>45342</v>
      </c>
      <c r="B15">
        <v>128.65</v>
      </c>
      <c r="Q15">
        <v>-4.6034306271942098E-2</v>
      </c>
    </row>
    <row r="16" spans="1:31" x14ac:dyDescent="0.4">
      <c r="A16" s="1">
        <v>45343</v>
      </c>
      <c r="B16">
        <v>128.19900000000001</v>
      </c>
      <c r="Q16">
        <v>-4.1748720425245398E-2</v>
      </c>
    </row>
    <row r="17" spans="1:17" x14ac:dyDescent="0.4">
      <c r="A17" s="1">
        <v>45344</v>
      </c>
      <c r="B17">
        <v>128.85</v>
      </c>
      <c r="Q17">
        <v>-4.0887490467295402E-2</v>
      </c>
    </row>
    <row r="18" spans="1:17" x14ac:dyDescent="0.4">
      <c r="A18" s="1">
        <v>45345</v>
      </c>
      <c r="B18">
        <v>130</v>
      </c>
      <c r="Q18">
        <v>-4.1561221381106399E-2</v>
      </c>
    </row>
    <row r="19" spans="1:17" x14ac:dyDescent="0.4">
      <c r="A19" s="1">
        <v>45348</v>
      </c>
      <c r="B19">
        <v>132.75</v>
      </c>
      <c r="Q19">
        <v>-4.1631522992012497E-2</v>
      </c>
    </row>
    <row r="20" spans="1:17" x14ac:dyDescent="0.4">
      <c r="A20" s="1">
        <v>45349</v>
      </c>
      <c r="B20">
        <v>139.19999999999999</v>
      </c>
      <c r="Q20">
        <v>-5.8094042534330703E-2</v>
      </c>
    </row>
    <row r="21" spans="1:17" x14ac:dyDescent="0.4">
      <c r="A21" s="1">
        <v>45350</v>
      </c>
      <c r="B21">
        <v>140.4</v>
      </c>
      <c r="Q21">
        <v>-5.9004336213076998E-2</v>
      </c>
    </row>
    <row r="22" spans="1:17" x14ac:dyDescent="0.4">
      <c r="A22" s="1">
        <v>45351</v>
      </c>
      <c r="B22">
        <v>142.4</v>
      </c>
      <c r="Q22">
        <v>-6.5166560405607296E-2</v>
      </c>
    </row>
    <row r="23" spans="1:17" x14ac:dyDescent="0.4">
      <c r="A23" s="1">
        <v>45352</v>
      </c>
      <c r="B23">
        <v>143</v>
      </c>
      <c r="Q23">
        <v>-6.1297978376906898E-2</v>
      </c>
    </row>
    <row r="24" spans="1:17" x14ac:dyDescent="0.4">
      <c r="A24" s="1">
        <v>45355</v>
      </c>
      <c r="B24">
        <v>144.4</v>
      </c>
      <c r="Q24">
        <v>-5.7661806043504099E-2</v>
      </c>
    </row>
    <row r="25" spans="1:17" x14ac:dyDescent="0.4">
      <c r="A25" s="1">
        <v>45356</v>
      </c>
      <c r="B25">
        <v>143.69999999999999</v>
      </c>
      <c r="Q25">
        <v>-5.3184032795541097E-2</v>
      </c>
    </row>
    <row r="26" spans="1:17" x14ac:dyDescent="0.4">
      <c r="A26" s="1">
        <v>45357</v>
      </c>
      <c r="B26">
        <v>143.19999999999999</v>
      </c>
      <c r="Q26">
        <v>-4.9230303228050699E-2</v>
      </c>
    </row>
    <row r="27" spans="1:17" x14ac:dyDescent="0.4">
      <c r="A27" s="1">
        <v>45358</v>
      </c>
      <c r="B27">
        <v>143.1</v>
      </c>
      <c r="Q27">
        <v>-4.6383668885279797E-2</v>
      </c>
    </row>
    <row r="28" spans="1:17" x14ac:dyDescent="0.4">
      <c r="A28" s="1">
        <v>45359</v>
      </c>
      <c r="B28">
        <v>143.5</v>
      </c>
      <c r="Q28">
        <v>-4.4944356034748903E-2</v>
      </c>
    </row>
    <row r="29" spans="1:17" x14ac:dyDescent="0.4">
      <c r="A29" s="1">
        <v>45362</v>
      </c>
      <c r="B29">
        <v>143.19999999999999</v>
      </c>
      <c r="Q29">
        <v>-3.6284710384058297E-2</v>
      </c>
    </row>
    <row r="30" spans="1:17" x14ac:dyDescent="0.4">
      <c r="A30" s="1">
        <v>45363</v>
      </c>
      <c r="B30">
        <v>150.80000000000001</v>
      </c>
      <c r="Q30">
        <v>-5.4836827609168602E-2</v>
      </c>
    </row>
    <row r="31" spans="1:17" x14ac:dyDescent="0.4">
      <c r="A31" s="1">
        <v>45364</v>
      </c>
      <c r="B31">
        <v>151.1</v>
      </c>
      <c r="Q31">
        <v>-5.3085340493809398E-2</v>
      </c>
    </row>
    <row r="32" spans="1:17" x14ac:dyDescent="0.4">
      <c r="A32" s="1">
        <v>45365</v>
      </c>
      <c r="B32">
        <v>156.80000000000001</v>
      </c>
      <c r="Q32">
        <v>-6.5500505883932997E-2</v>
      </c>
    </row>
    <row r="33" spans="1:19" x14ac:dyDescent="0.4">
      <c r="A33" s="1">
        <v>45366</v>
      </c>
      <c r="B33">
        <v>165.7</v>
      </c>
      <c r="C33">
        <v>121.35</v>
      </c>
      <c r="D33">
        <v>115.5</v>
      </c>
      <c r="Q33">
        <v>-8.49644889816875E-2</v>
      </c>
      <c r="R33">
        <v>-0.103133869775948</v>
      </c>
      <c r="S33">
        <v>-5.0308452224967597E-2</v>
      </c>
    </row>
    <row r="34" spans="1:19" x14ac:dyDescent="0.4">
      <c r="A34" s="1">
        <v>45369</v>
      </c>
      <c r="B34">
        <v>173.15</v>
      </c>
      <c r="C34">
        <v>129</v>
      </c>
      <c r="D34">
        <v>123</v>
      </c>
      <c r="Q34">
        <v>-9.4919622922608998E-2</v>
      </c>
      <c r="R34">
        <v>-0.1244998376163267</v>
      </c>
      <c r="S34">
        <v>-6.5192409251536299E-2</v>
      </c>
    </row>
    <row r="35" spans="1:19" x14ac:dyDescent="0.4">
      <c r="A35" s="1">
        <v>45370</v>
      </c>
      <c r="B35">
        <v>172.05</v>
      </c>
      <c r="C35">
        <v>131.4</v>
      </c>
      <c r="D35">
        <v>125.7</v>
      </c>
      <c r="Q35">
        <v>-8.9995460998965604E-2</v>
      </c>
      <c r="R35">
        <v>-0.130595964667099</v>
      </c>
      <c r="S35">
        <v>-7.0369654699391201E-2</v>
      </c>
    </row>
    <row r="36" spans="1:19" x14ac:dyDescent="0.4">
      <c r="A36" s="1">
        <v>45371</v>
      </c>
      <c r="B36">
        <v>171</v>
      </c>
      <c r="C36">
        <v>131.9</v>
      </c>
      <c r="D36">
        <v>126</v>
      </c>
      <c r="Q36">
        <v>-8.5132033976345195E-2</v>
      </c>
      <c r="R36">
        <v>-0.1294752484960055</v>
      </c>
      <c r="S36">
        <v>-6.9072748508239107E-2</v>
      </c>
    </row>
    <row r="37" spans="1:19" x14ac:dyDescent="0.4">
      <c r="A37" s="1">
        <v>45372</v>
      </c>
      <c r="B37">
        <v>173.75</v>
      </c>
      <c r="C37">
        <v>132.5</v>
      </c>
      <c r="D37">
        <v>129.9</v>
      </c>
      <c r="Q37">
        <v>-8.8984984283933394E-2</v>
      </c>
      <c r="R37">
        <v>-0.12871601295027529</v>
      </c>
      <c r="S37">
        <v>-7.7163386192771202E-2</v>
      </c>
    </row>
    <row r="38" spans="1:19" x14ac:dyDescent="0.4">
      <c r="A38" s="1">
        <v>45373</v>
      </c>
      <c r="B38">
        <v>181</v>
      </c>
      <c r="C38">
        <v>134</v>
      </c>
      <c r="D38">
        <v>130.9</v>
      </c>
      <c r="Q38">
        <v>-0.10258569875646791</v>
      </c>
      <c r="R38">
        <v>-0.13127953895551939</v>
      </c>
      <c r="S38">
        <v>-7.7640283099145793E-2</v>
      </c>
    </row>
    <row r="39" spans="1:19" x14ac:dyDescent="0.4">
      <c r="A39" s="1">
        <v>45376</v>
      </c>
      <c r="B39">
        <v>185.5</v>
      </c>
      <c r="Q39">
        <v>-0.1049588275304023</v>
      </c>
    </row>
    <row r="40" spans="1:19" x14ac:dyDescent="0.4">
      <c r="A40" s="1">
        <v>45377</v>
      </c>
      <c r="B40">
        <v>175.75</v>
      </c>
      <c r="C40">
        <v>130.5</v>
      </c>
      <c r="D40">
        <v>123.75</v>
      </c>
      <c r="Q40">
        <v>-8.2171698554805495E-2</v>
      </c>
      <c r="R40">
        <v>-0.1069403191884902</v>
      </c>
      <c r="S40">
        <v>-5.09896284407425E-2</v>
      </c>
    </row>
    <row r="41" spans="1:19" x14ac:dyDescent="0.4">
      <c r="A41" s="1">
        <v>45378</v>
      </c>
      <c r="B41">
        <v>172.45</v>
      </c>
      <c r="C41">
        <v>131.25</v>
      </c>
      <c r="D41">
        <v>120</v>
      </c>
      <c r="Q41">
        <v>-7.3028323596904393E-2</v>
      </c>
      <c r="R41">
        <v>-0.1079867940924658</v>
      </c>
      <c r="S41">
        <v>-3.9001457009162202E-2</v>
      </c>
    </row>
    <row r="42" spans="1:19" x14ac:dyDescent="0.4">
      <c r="A42" s="1">
        <v>45379</v>
      </c>
      <c r="B42">
        <v>172.45</v>
      </c>
      <c r="C42">
        <v>131.25</v>
      </c>
      <c r="D42">
        <v>120</v>
      </c>
      <c r="Q42">
        <v>-7.1492579149774901E-2</v>
      </c>
      <c r="R42">
        <v>-0.106098943542216</v>
      </c>
      <c r="S42">
        <v>-3.7644185449918301E-2</v>
      </c>
    </row>
    <row r="43" spans="1:19" x14ac:dyDescent="0.4">
      <c r="A43" s="1">
        <v>45380</v>
      </c>
      <c r="B43">
        <v>172.45</v>
      </c>
      <c r="C43">
        <v>131.25</v>
      </c>
      <c r="D43">
        <v>120</v>
      </c>
      <c r="Q43">
        <v>-6.9950553760278297E-2</v>
      </c>
      <c r="R43">
        <v>-0.10420105289394679</v>
      </c>
      <c r="S43">
        <v>-3.6282256002703898E-2</v>
      </c>
    </row>
    <row r="44" spans="1:19" x14ac:dyDescent="0.4">
      <c r="A44" s="1">
        <v>45383</v>
      </c>
      <c r="B44">
        <v>172.45</v>
      </c>
      <c r="C44">
        <v>131.25</v>
      </c>
      <c r="D44">
        <v>120</v>
      </c>
      <c r="Q44">
        <v>-6.5286415524485594E-2</v>
      </c>
      <c r="R44">
        <v>-9.8446363460021002E-2</v>
      </c>
      <c r="S44">
        <v>-3.21682843009128E-2</v>
      </c>
    </row>
    <row r="45" spans="1:19" x14ac:dyDescent="0.4">
      <c r="A45" s="1">
        <v>45384</v>
      </c>
      <c r="B45">
        <v>172.45</v>
      </c>
      <c r="C45">
        <v>131.25</v>
      </c>
      <c r="D45">
        <v>120</v>
      </c>
      <c r="Q45">
        <v>-6.3718889123225195E-2</v>
      </c>
      <c r="R45">
        <v>-9.6507532449704406E-2</v>
      </c>
      <c r="S45">
        <v>-3.0787487031092398E-2</v>
      </c>
    </row>
    <row r="46" spans="1:19" x14ac:dyDescent="0.4">
      <c r="A46" s="1">
        <v>45385</v>
      </c>
      <c r="B46">
        <v>171.25</v>
      </c>
      <c r="C46">
        <v>140</v>
      </c>
      <c r="D46">
        <v>126.5</v>
      </c>
      <c r="Q46">
        <v>-5.9258296923733599E-2</v>
      </c>
      <c r="R46">
        <v>-0.12780825521213809</v>
      </c>
      <c r="S46">
        <v>-4.7916611234134598E-2</v>
      </c>
    </row>
    <row r="47" spans="1:19" x14ac:dyDescent="0.4">
      <c r="A47" s="1">
        <v>45386</v>
      </c>
      <c r="B47">
        <v>173.1</v>
      </c>
      <c r="C47">
        <v>130.80000000000001</v>
      </c>
      <c r="D47">
        <v>124</v>
      </c>
      <c r="Q47">
        <v>-6.2120452589938001E-2</v>
      </c>
      <c r="R47">
        <v>-9.0787175345645801E-2</v>
      </c>
      <c r="S47">
        <v>-3.9590447427169002E-2</v>
      </c>
    </row>
    <row r="48" spans="1:19" x14ac:dyDescent="0.4">
      <c r="A48" s="1">
        <v>45387</v>
      </c>
      <c r="B48">
        <v>179.5</v>
      </c>
      <c r="Q48">
        <v>-7.5465604680598403E-2</v>
      </c>
    </row>
    <row r="49" spans="1:19" x14ac:dyDescent="0.4">
      <c r="A49" s="1">
        <v>45390</v>
      </c>
      <c r="B49">
        <v>184.85</v>
      </c>
      <c r="C49">
        <v>136.5</v>
      </c>
      <c r="D49">
        <v>129.4</v>
      </c>
      <c r="Q49">
        <v>-8.2815354367503605E-2</v>
      </c>
      <c r="R49">
        <v>-0.1053948393373325</v>
      </c>
      <c r="S49">
        <v>-4.9086448518705098E-2</v>
      </c>
    </row>
    <row r="50" spans="1:19" x14ac:dyDescent="0.4">
      <c r="A50" s="1">
        <v>45391</v>
      </c>
      <c r="B50">
        <v>188.25</v>
      </c>
      <c r="C50">
        <v>137.19999999999999</v>
      </c>
      <c r="D50">
        <v>133</v>
      </c>
      <c r="Q50">
        <v>-8.8679223492572595E-2</v>
      </c>
      <c r="R50">
        <v>-0.1061407480981667</v>
      </c>
      <c r="S50">
        <v>-5.7288098344470198E-2</v>
      </c>
    </row>
    <row r="51" spans="1:19" x14ac:dyDescent="0.4">
      <c r="A51" s="1">
        <v>45392</v>
      </c>
      <c r="B51">
        <v>192.9</v>
      </c>
      <c r="Q51">
        <v>-9.6998500889763001E-2</v>
      </c>
    </row>
    <row r="52" spans="1:19" x14ac:dyDescent="0.4">
      <c r="A52" s="1">
        <v>45393</v>
      </c>
      <c r="B52">
        <v>198.25</v>
      </c>
      <c r="C52">
        <v>145.1</v>
      </c>
      <c r="Q52">
        <v>-0.10643658793142501</v>
      </c>
      <c r="R52">
        <v>-0.13129617741784161</v>
      </c>
    </row>
    <row r="53" spans="1:19" x14ac:dyDescent="0.4">
      <c r="A53" s="1">
        <v>45394</v>
      </c>
      <c r="B53">
        <v>199.6</v>
      </c>
      <c r="C53">
        <v>148</v>
      </c>
      <c r="D53">
        <v>143</v>
      </c>
      <c r="Q53">
        <v>-0.107668213686984</v>
      </c>
      <c r="R53">
        <v>-0.1395252442768854</v>
      </c>
      <c r="S53">
        <v>-7.8237100455980105E-2</v>
      </c>
    </row>
    <row r="54" spans="1:19" x14ac:dyDescent="0.4">
      <c r="A54" s="1">
        <v>45397</v>
      </c>
      <c r="B54">
        <v>205.8</v>
      </c>
      <c r="Q54">
        <v>-0.11542233452851849</v>
      </c>
    </row>
    <row r="55" spans="1:19" x14ac:dyDescent="0.4">
      <c r="A55" s="1">
        <v>45398</v>
      </c>
      <c r="B55">
        <v>200.5</v>
      </c>
      <c r="C55">
        <v>150</v>
      </c>
      <c r="Q55">
        <v>-0.1035750951260616</v>
      </c>
      <c r="R55">
        <v>-0.13906377459234801</v>
      </c>
    </row>
    <row r="56" spans="1:19" x14ac:dyDescent="0.4">
      <c r="A56" s="1">
        <v>45399</v>
      </c>
      <c r="B56">
        <v>195.75</v>
      </c>
      <c r="C56">
        <v>148</v>
      </c>
      <c r="Q56">
        <v>-9.2399005969585099E-2</v>
      </c>
      <c r="R56">
        <v>-0.13033617171449269</v>
      </c>
    </row>
    <row r="57" spans="1:19" x14ac:dyDescent="0.4">
      <c r="A57" s="1">
        <v>45400</v>
      </c>
      <c r="B57">
        <v>188.8</v>
      </c>
      <c r="C57">
        <v>149.69999999999999</v>
      </c>
      <c r="Q57">
        <v>-7.60259970084671E-2</v>
      </c>
      <c r="R57">
        <v>-0.134361416312755</v>
      </c>
    </row>
    <row r="58" spans="1:19" x14ac:dyDescent="0.4">
      <c r="A58" s="1">
        <v>45401</v>
      </c>
      <c r="B58">
        <v>187.7</v>
      </c>
      <c r="C58">
        <v>148.75</v>
      </c>
      <c r="D58">
        <v>132.1</v>
      </c>
      <c r="Q58">
        <v>-7.2026162538550695E-2</v>
      </c>
      <c r="R58">
        <v>-0.12921334203723589</v>
      </c>
      <c r="S58">
        <v>-4.1359465008636798E-2</v>
      </c>
    </row>
    <row r="59" spans="1:19" x14ac:dyDescent="0.4">
      <c r="A59" s="1">
        <v>45404</v>
      </c>
      <c r="B59">
        <v>182.15</v>
      </c>
      <c r="C59">
        <v>151.5</v>
      </c>
      <c r="Q59">
        <v>-5.4558190478311799E-2</v>
      </c>
      <c r="R59">
        <v>-0.13309616082920309</v>
      </c>
    </row>
    <row r="60" spans="1:19" x14ac:dyDescent="0.4">
      <c r="A60" s="1">
        <v>45405</v>
      </c>
      <c r="B60">
        <v>176</v>
      </c>
      <c r="C60">
        <v>149.5</v>
      </c>
      <c r="D60">
        <v>125</v>
      </c>
      <c r="Q60">
        <v>-3.8128273308934403E-2</v>
      </c>
      <c r="R60">
        <v>-0.12427989335948721</v>
      </c>
      <c r="S60">
        <v>-1.57384015907206E-2</v>
      </c>
    </row>
    <row r="61" spans="1:19" x14ac:dyDescent="0.4">
      <c r="A61" s="1">
        <v>45406</v>
      </c>
      <c r="B61">
        <v>175.95</v>
      </c>
      <c r="C61">
        <v>149.5</v>
      </c>
      <c r="D61">
        <v>127</v>
      </c>
      <c r="Q61">
        <v>-3.6312300180783498E-2</v>
      </c>
      <c r="R61">
        <v>-0.1223699671353578</v>
      </c>
      <c r="S61">
        <v>-2.01047239640978E-2</v>
      </c>
    </row>
    <row r="62" spans="1:19" x14ac:dyDescent="0.4">
      <c r="A62" s="1">
        <v>45407</v>
      </c>
      <c r="B62">
        <v>191.85</v>
      </c>
      <c r="C62">
        <v>150.80000000000001</v>
      </c>
      <c r="Q62">
        <v>-7.1655667453970007E-2</v>
      </c>
      <c r="R62">
        <v>-0.12501442108721389</v>
      </c>
    </row>
    <row r="63" spans="1:19" x14ac:dyDescent="0.4">
      <c r="A63" s="1">
        <v>45408</v>
      </c>
      <c r="B63">
        <v>170</v>
      </c>
      <c r="C63">
        <v>144.6</v>
      </c>
      <c r="D63">
        <v>120</v>
      </c>
      <c r="Q63">
        <v>-1.7953581658181301E-2</v>
      </c>
      <c r="R63">
        <v>-0.10093762958440421</v>
      </c>
      <c r="S63">
        <v>3.6449738768657E-3</v>
      </c>
    </row>
    <row r="64" spans="1:19" x14ac:dyDescent="0.4">
      <c r="A64" s="1">
        <v>45411</v>
      </c>
      <c r="B64">
        <v>167.4</v>
      </c>
      <c r="C64">
        <v>143.69999999999999</v>
      </c>
      <c r="D64">
        <v>116.8</v>
      </c>
      <c r="Q64">
        <v>-6.4154480675737997E-3</v>
      </c>
      <c r="R64">
        <v>-9.2305631013901102E-2</v>
      </c>
      <c r="S64">
        <v>1.78565182358256E-2</v>
      </c>
    </row>
    <row r="65" spans="1:20" x14ac:dyDescent="0.4">
      <c r="A65" s="1">
        <v>45412</v>
      </c>
      <c r="B65">
        <v>167.35</v>
      </c>
      <c r="C65">
        <v>140</v>
      </c>
      <c r="D65">
        <v>113</v>
      </c>
      <c r="Q65">
        <v>-4.7139263868886004E-3</v>
      </c>
      <c r="R65">
        <v>-7.6045993745475396E-2</v>
      </c>
      <c r="S65">
        <v>3.1938880710329902E-2</v>
      </c>
    </row>
    <row r="66" spans="1:20" x14ac:dyDescent="0.4">
      <c r="A66" s="1">
        <v>45413</v>
      </c>
      <c r="B66">
        <v>167.35</v>
      </c>
      <c r="C66">
        <v>140</v>
      </c>
      <c r="D66">
        <v>113</v>
      </c>
      <c r="Q66">
        <v>-3.1409313699427999E-3</v>
      </c>
      <c r="R66">
        <v>-7.4216222910593405E-2</v>
      </c>
      <c r="S66">
        <v>3.33226170909744E-2</v>
      </c>
    </row>
    <row r="67" spans="1:20" x14ac:dyDescent="0.4">
      <c r="A67" s="1">
        <v>45414</v>
      </c>
      <c r="B67">
        <v>168.4</v>
      </c>
      <c r="D67">
        <v>112</v>
      </c>
      <c r="Q67">
        <v>-4.4067129488317E-3</v>
      </c>
      <c r="S67">
        <v>3.8176826329495997E-2</v>
      </c>
    </row>
    <row r="68" spans="1:20" x14ac:dyDescent="0.4">
      <c r="A68" s="1">
        <v>45415</v>
      </c>
      <c r="B68">
        <v>166.25</v>
      </c>
      <c r="C68">
        <v>135.15</v>
      </c>
      <c r="D68">
        <v>112.6</v>
      </c>
      <c r="Q68">
        <v>3.0420392497840999E-3</v>
      </c>
      <c r="R68">
        <v>-5.03494127917022E-2</v>
      </c>
      <c r="S68">
        <v>3.7488901974166197E-2</v>
      </c>
    </row>
    <row r="69" spans="1:20" x14ac:dyDescent="0.4">
      <c r="A69" s="1">
        <v>45418</v>
      </c>
      <c r="B69">
        <v>177.75</v>
      </c>
      <c r="C69">
        <v>134</v>
      </c>
      <c r="D69">
        <v>123.5</v>
      </c>
      <c r="E69">
        <v>105.5</v>
      </c>
      <c r="Q69">
        <v>-2.2579708288593299E-2</v>
      </c>
      <c r="R69">
        <v>-3.9501980949552797E-2</v>
      </c>
      <c r="S69">
        <v>5.9749002278973997E-3</v>
      </c>
      <c r="T69">
        <v>-1.6803561563793201E-2</v>
      </c>
    </row>
    <row r="70" spans="1:20" x14ac:dyDescent="0.4">
      <c r="A70" s="1">
        <v>45419</v>
      </c>
      <c r="B70">
        <v>178.5</v>
      </c>
      <c r="C70">
        <v>142.5</v>
      </c>
      <c r="D70">
        <v>125</v>
      </c>
      <c r="Q70">
        <v>-2.29366474579135E-2</v>
      </c>
      <c r="R70">
        <v>-7.3144152888204403E-2</v>
      </c>
      <c r="S70">
        <v>2.7172146959206999E-3</v>
      </c>
    </row>
    <row r="71" spans="1:20" x14ac:dyDescent="0.4">
      <c r="A71" s="1">
        <v>45420</v>
      </c>
      <c r="B71">
        <v>179.5</v>
      </c>
      <c r="C71">
        <v>143.5</v>
      </c>
      <c r="D71">
        <v>126.75</v>
      </c>
      <c r="E71">
        <v>109.5</v>
      </c>
      <c r="Q71">
        <v>-2.3912031896183399E-2</v>
      </c>
      <c r="R71">
        <v>-7.5262918964412701E-2</v>
      </c>
      <c r="S71">
        <v>-1.2289270175975999E-3</v>
      </c>
      <c r="T71">
        <v>-3.2205605385400203E-2</v>
      </c>
    </row>
    <row r="72" spans="1:20" x14ac:dyDescent="0.4">
      <c r="A72" s="1">
        <v>45421</v>
      </c>
      <c r="B72">
        <v>181.15</v>
      </c>
      <c r="C72">
        <v>142.6</v>
      </c>
      <c r="D72">
        <v>129</v>
      </c>
      <c r="E72">
        <v>109.7</v>
      </c>
      <c r="Q72">
        <v>-2.6487390787767798E-2</v>
      </c>
      <c r="R72">
        <v>-6.9810739125808194E-2</v>
      </c>
      <c r="S72">
        <v>-6.5590464283474996E-3</v>
      </c>
      <c r="T72">
        <v>-3.14173044038705E-2</v>
      </c>
    </row>
    <row r="73" spans="1:20" x14ac:dyDescent="0.4">
      <c r="A73" s="1">
        <v>45422</v>
      </c>
      <c r="B73">
        <v>180.5</v>
      </c>
      <c r="C73">
        <v>142</v>
      </c>
      <c r="D73">
        <v>127.5</v>
      </c>
      <c r="E73">
        <v>111</v>
      </c>
      <c r="Q73">
        <v>-2.3341721596801802E-2</v>
      </c>
      <c r="R73">
        <v>-6.5503654699378397E-2</v>
      </c>
      <c r="S73">
        <v>-8.3076882428959997E-4</v>
      </c>
      <c r="T73">
        <v>-3.5648328975927498E-2</v>
      </c>
    </row>
    <row r="74" spans="1:20" x14ac:dyDescent="0.4">
      <c r="A74" s="1">
        <v>45425</v>
      </c>
      <c r="B74">
        <v>181.4</v>
      </c>
      <c r="C74">
        <v>145</v>
      </c>
      <c r="D74">
        <v>129.4</v>
      </c>
      <c r="E74">
        <v>110.5</v>
      </c>
      <c r="Q74">
        <v>-2.09591992731578E-2</v>
      </c>
      <c r="R74">
        <v>-7.1871576553273198E-2</v>
      </c>
      <c r="S74">
        <v>-2.4882871591046002E-3</v>
      </c>
      <c r="T74">
        <v>-2.8217516923531302E-2</v>
      </c>
    </row>
    <row r="75" spans="1:20" x14ac:dyDescent="0.4">
      <c r="A75" s="1">
        <v>45426</v>
      </c>
      <c r="B75">
        <v>182</v>
      </c>
      <c r="C75">
        <v>143.15</v>
      </c>
      <c r="D75">
        <v>129.75</v>
      </c>
      <c r="E75">
        <v>112.5</v>
      </c>
      <c r="Q75">
        <v>-2.0905843832467401E-2</v>
      </c>
      <c r="R75">
        <v>-6.2543132748486996E-2</v>
      </c>
      <c r="S75">
        <v>-2.1954322706092999E-3</v>
      </c>
      <c r="T75">
        <v>-3.5603603093010902E-2</v>
      </c>
    </row>
    <row r="76" spans="1:20" x14ac:dyDescent="0.4">
      <c r="A76" s="1">
        <v>45427</v>
      </c>
      <c r="B76">
        <v>180.9</v>
      </c>
      <c r="C76">
        <v>142</v>
      </c>
      <c r="D76">
        <v>129.75</v>
      </c>
      <c r="E76">
        <v>111</v>
      </c>
      <c r="Q76">
        <v>-1.6589280866645899E-2</v>
      </c>
      <c r="R76">
        <v>-5.5895099862448401E-2</v>
      </c>
      <c r="S76">
        <v>-8.7314282012980005E-4</v>
      </c>
      <c r="T76">
        <v>-2.7050500208499501E-2</v>
      </c>
    </row>
    <row r="77" spans="1:20" x14ac:dyDescent="0.4">
      <c r="A77" s="1">
        <v>45428</v>
      </c>
      <c r="B77">
        <v>183.5</v>
      </c>
      <c r="C77">
        <v>149</v>
      </c>
      <c r="D77">
        <v>126</v>
      </c>
      <c r="E77">
        <v>110.75</v>
      </c>
      <c r="Q77">
        <v>-1.7915345701895999E-2</v>
      </c>
      <c r="R77">
        <v>-7.9950487044984406E-2</v>
      </c>
      <c r="S77">
        <v>-1.7452837214947E-3</v>
      </c>
      <c r="T77">
        <v>-2.4149236910759798E-2</v>
      </c>
    </row>
    <row r="78" spans="1:20" x14ac:dyDescent="0.4">
      <c r="A78" s="1">
        <v>45429</v>
      </c>
      <c r="B78">
        <v>183.5</v>
      </c>
      <c r="C78">
        <v>142</v>
      </c>
      <c r="D78">
        <v>128.05000000000001</v>
      </c>
      <c r="E78">
        <v>109.7</v>
      </c>
      <c r="Q78">
        <v>-1.9970919511792799E-2</v>
      </c>
      <c r="R78">
        <v>-5.1977069635216602E-2</v>
      </c>
      <c r="S78">
        <v>6.8470676263176003E-3</v>
      </c>
      <c r="T78">
        <v>-1.7472343422541201E-2</v>
      </c>
    </row>
    <row r="79" spans="1:20" x14ac:dyDescent="0.4">
      <c r="A79" s="1">
        <v>45432</v>
      </c>
      <c r="B79">
        <v>182.3</v>
      </c>
      <c r="C79">
        <v>142</v>
      </c>
      <c r="D79">
        <v>125.5</v>
      </c>
      <c r="E79">
        <v>110.05</v>
      </c>
      <c r="Q79">
        <v>-1.40056221715596E-2</v>
      </c>
      <c r="R79">
        <v>-7.4378236975685103E-2</v>
      </c>
      <c r="S79">
        <v>1.10570075564261E-2</v>
      </c>
      <c r="T79">
        <v>-1.37702777084312E-2</v>
      </c>
    </row>
    <row r="80" spans="1:20" x14ac:dyDescent="0.4">
      <c r="A80" s="1">
        <v>45433</v>
      </c>
      <c r="B80">
        <v>182.7</v>
      </c>
      <c r="C80">
        <v>151.5</v>
      </c>
      <c r="D80">
        <v>128</v>
      </c>
      <c r="E80">
        <v>110.95</v>
      </c>
      <c r="Q80">
        <v>-1.3426462263532999E-2</v>
      </c>
      <c r="R80">
        <v>-5.4434282660554098E-2</v>
      </c>
      <c r="S80">
        <v>1.2419599221585E-2</v>
      </c>
      <c r="T80">
        <v>-1.41052144217555E-2</v>
      </c>
    </row>
    <row r="81" spans="1:21" x14ac:dyDescent="0.4">
      <c r="A81" s="1">
        <v>45434</v>
      </c>
      <c r="B81">
        <v>184.5</v>
      </c>
      <c r="C81">
        <v>142</v>
      </c>
      <c r="D81">
        <v>127</v>
      </c>
      <c r="E81">
        <v>111.5</v>
      </c>
      <c r="F81">
        <v>97</v>
      </c>
      <c r="Q81">
        <v>-2.1026056566036001E-3</v>
      </c>
      <c r="R81">
        <v>-2.9027617559668199E-2</v>
      </c>
      <c r="S81">
        <v>2.43274517077714E-2</v>
      </c>
      <c r="T81">
        <v>-4.3815065661604001E-3</v>
      </c>
      <c r="U81">
        <v>1.6653868966257299E-2</v>
      </c>
    </row>
    <row r="82" spans="1:21" x14ac:dyDescent="0.4">
      <c r="A82" s="1">
        <v>45435</v>
      </c>
      <c r="B82">
        <v>179.55</v>
      </c>
      <c r="C82">
        <v>138</v>
      </c>
      <c r="D82">
        <v>128</v>
      </c>
      <c r="E82">
        <v>109</v>
      </c>
      <c r="F82">
        <v>97</v>
      </c>
      <c r="Q82">
        <v>-1.5186674114183001E-3</v>
      </c>
      <c r="R82">
        <v>-2.2506414474375899E-2</v>
      </c>
      <c r="S82">
        <v>2.21071108688605E-2</v>
      </c>
      <c r="T82">
        <v>-3.2747878259502998E-3</v>
      </c>
      <c r="U82">
        <v>1.7892550077784598E-2</v>
      </c>
    </row>
    <row r="83" spans="1:21" x14ac:dyDescent="0.4">
      <c r="A83" s="1">
        <v>45436</v>
      </c>
      <c r="B83">
        <v>184</v>
      </c>
      <c r="C83">
        <v>137</v>
      </c>
      <c r="D83">
        <v>127</v>
      </c>
      <c r="E83">
        <v>110</v>
      </c>
      <c r="F83">
        <v>98</v>
      </c>
      <c r="Q83">
        <v>-5.4025379464930001E-4</v>
      </c>
      <c r="R83">
        <v>-5.83098469267972E-2</v>
      </c>
      <c r="S83">
        <v>2.27186565586775E-2</v>
      </c>
      <c r="T83">
        <v>-1.6751923888711001E-3</v>
      </c>
      <c r="U83">
        <v>1.55268540896166E-2</v>
      </c>
    </row>
    <row r="84" spans="1:21" x14ac:dyDescent="0.4">
      <c r="A84" s="1">
        <v>45439</v>
      </c>
      <c r="B84">
        <v>177</v>
      </c>
      <c r="C84">
        <v>146</v>
      </c>
      <c r="D84">
        <v>123.25</v>
      </c>
      <c r="E84">
        <v>107.7</v>
      </c>
      <c r="Q84">
        <v>1.2309306328953299E-2</v>
      </c>
      <c r="R84">
        <v>-3.9293800954246998E-2</v>
      </c>
      <c r="S84">
        <v>3.5108212675504798E-2</v>
      </c>
      <c r="T84">
        <v>9.7984794865384004E-3</v>
      </c>
    </row>
    <row r="85" spans="1:21" x14ac:dyDescent="0.4">
      <c r="A85" s="1">
        <v>45440</v>
      </c>
      <c r="B85">
        <v>175.05</v>
      </c>
      <c r="C85">
        <v>140</v>
      </c>
      <c r="D85">
        <v>125</v>
      </c>
      <c r="E85">
        <v>108.9</v>
      </c>
      <c r="Q85">
        <v>1.8937823092460601E-2</v>
      </c>
      <c r="R85">
        <v>-2.6664949454867502E-2</v>
      </c>
      <c r="S85">
        <v>3.0602178564699802E-2</v>
      </c>
      <c r="T85">
        <v>5.3008271287379996E-3</v>
      </c>
    </row>
    <row r="86" spans="1:21" x14ac:dyDescent="0.4">
      <c r="A86" s="1">
        <v>45441</v>
      </c>
      <c r="B86">
        <v>177</v>
      </c>
      <c r="C86">
        <v>142.69999999999999</v>
      </c>
      <c r="D86">
        <v>125.35</v>
      </c>
      <c r="E86">
        <v>107.25</v>
      </c>
      <c r="F86">
        <v>97</v>
      </c>
      <c r="Q86">
        <v>1.4947591606775199E-2</v>
      </c>
      <c r="R86">
        <v>-3.3302667538750601E-2</v>
      </c>
      <c r="S86">
        <v>3.0605501466484001E-2</v>
      </c>
      <c r="T86">
        <v>1.5057824200529301E-2</v>
      </c>
      <c r="U86">
        <v>2.4327536057344099E-2</v>
      </c>
    </row>
    <row r="87" spans="1:21" x14ac:dyDescent="0.4">
      <c r="A87" s="1">
        <v>45442</v>
      </c>
      <c r="B87">
        <v>175.65</v>
      </c>
      <c r="C87">
        <v>144.69999999999999</v>
      </c>
      <c r="D87">
        <v>124</v>
      </c>
      <c r="E87">
        <v>108</v>
      </c>
      <c r="F87">
        <v>97</v>
      </c>
      <c r="Q87">
        <v>1.9962097359868199E-2</v>
      </c>
      <c r="R87">
        <v>-3.4266819218217101E-2</v>
      </c>
      <c r="S87">
        <v>3.6064451923407501E-2</v>
      </c>
      <c r="T87">
        <v>1.2766204027544401E-2</v>
      </c>
      <c r="U87">
        <v>2.5321162858971999E-2</v>
      </c>
    </row>
    <row r="88" spans="1:21" x14ac:dyDescent="0.4">
      <c r="A88" s="1">
        <v>45443</v>
      </c>
      <c r="B88">
        <v>175.8</v>
      </c>
      <c r="C88">
        <v>138</v>
      </c>
      <c r="D88">
        <v>124</v>
      </c>
      <c r="E88">
        <v>107.8</v>
      </c>
      <c r="F88">
        <v>98</v>
      </c>
      <c r="Q88">
        <v>2.08911231984669E-2</v>
      </c>
      <c r="R88">
        <v>-5.5429674330014098E-2</v>
      </c>
      <c r="S88">
        <v>3.71981424322336E-2</v>
      </c>
      <c r="T88">
        <v>1.52814501708393E-2</v>
      </c>
      <c r="U88">
        <v>2.26593093681536E-2</v>
      </c>
    </row>
    <row r="89" spans="1:21" x14ac:dyDescent="0.4">
      <c r="A89" s="1">
        <v>45446</v>
      </c>
      <c r="B89">
        <v>178.4</v>
      </c>
      <c r="C89">
        <v>146.5</v>
      </c>
      <c r="D89">
        <v>125.6</v>
      </c>
      <c r="E89">
        <v>108.15</v>
      </c>
      <c r="Q89">
        <v>1.7814353066497299E-2</v>
      </c>
      <c r="R89">
        <v>-3.84645823801767E-2</v>
      </c>
      <c r="S89">
        <v>3.5441933588213098E-2</v>
      </c>
      <c r="T89">
        <v>1.8054966531104399E-2</v>
      </c>
    </row>
    <row r="90" spans="1:21" x14ac:dyDescent="0.4">
      <c r="A90" s="1">
        <v>45447</v>
      </c>
      <c r="B90">
        <v>181.3</v>
      </c>
      <c r="C90">
        <v>145</v>
      </c>
      <c r="D90">
        <v>127.6</v>
      </c>
      <c r="E90">
        <v>110.15</v>
      </c>
      <c r="F90">
        <v>99</v>
      </c>
      <c r="Q90">
        <v>1.1362057080335599E-2</v>
      </c>
      <c r="R90">
        <v>-3.2573323659577998E-2</v>
      </c>
      <c r="S90">
        <v>3.0218547777757801E-2</v>
      </c>
      <c r="T90">
        <v>9.5190419659815992E-3</v>
      </c>
      <c r="U90">
        <v>2.3009438287283399E-2</v>
      </c>
    </row>
    <row r="91" spans="1:21" x14ac:dyDescent="0.4">
      <c r="A91" s="1">
        <v>45448</v>
      </c>
      <c r="B91">
        <v>183.75</v>
      </c>
      <c r="C91">
        <v>145</v>
      </c>
      <c r="D91">
        <v>130.75</v>
      </c>
      <c r="E91">
        <v>111.8</v>
      </c>
      <c r="F91">
        <v>99</v>
      </c>
      <c r="Q91">
        <v>6.2290678850861004E-3</v>
      </c>
      <c r="R91">
        <v>-1.44102665601674E-2</v>
      </c>
      <c r="S91">
        <v>2.15822633004078E-2</v>
      </c>
      <c r="T91">
        <v>2.9062210695145001E-3</v>
      </c>
      <c r="U91">
        <v>2.4006201636047601E-2</v>
      </c>
    </row>
    <row r="92" spans="1:21" x14ac:dyDescent="0.4">
      <c r="A92" s="1">
        <v>45449</v>
      </c>
      <c r="B92">
        <v>182.4</v>
      </c>
      <c r="C92">
        <v>140</v>
      </c>
      <c r="D92">
        <v>127.25</v>
      </c>
      <c r="E92">
        <v>110</v>
      </c>
      <c r="F92">
        <v>98</v>
      </c>
      <c r="Q92">
        <v>1.1098981570174299E-2</v>
      </c>
      <c r="R92">
        <v>-1.157021837172E-2</v>
      </c>
      <c r="S92">
        <v>3.3584236752165E-2</v>
      </c>
      <c r="T92">
        <v>1.3284558665680001E-2</v>
      </c>
      <c r="U92">
        <v>2.8656719666529998E-2</v>
      </c>
    </row>
    <row r="93" spans="1:21" x14ac:dyDescent="0.4">
      <c r="A93" s="1">
        <v>45450</v>
      </c>
      <c r="B93">
        <v>181.5</v>
      </c>
      <c r="C93">
        <v>140</v>
      </c>
      <c r="D93">
        <v>128.75</v>
      </c>
      <c r="E93">
        <v>109.1</v>
      </c>
      <c r="F93">
        <v>98</v>
      </c>
      <c r="Q93">
        <v>1.48269132087513E-2</v>
      </c>
      <c r="R93">
        <v>-4.8142719545038997E-3</v>
      </c>
      <c r="S93">
        <v>2.99922465945116E-2</v>
      </c>
      <c r="T93">
        <v>1.9349018871711001E-2</v>
      </c>
      <c r="U93">
        <v>2.9666556582173501E-2</v>
      </c>
    </row>
    <row r="94" spans="1:21" x14ac:dyDescent="0.4">
      <c r="A94" s="1">
        <v>45453</v>
      </c>
      <c r="B94">
        <v>181</v>
      </c>
      <c r="C94">
        <v>140</v>
      </c>
      <c r="D94">
        <v>127</v>
      </c>
      <c r="E94">
        <v>109.9</v>
      </c>
      <c r="Q94">
        <v>2.0220544076780499E-2</v>
      </c>
      <c r="R94">
        <v>1.1795124463747799E-2</v>
      </c>
      <c r="S94">
        <v>3.8955064703732202E-2</v>
      </c>
      <c r="T94">
        <v>1.9914769945170802E-2</v>
      </c>
    </row>
    <row r="95" spans="1:21" x14ac:dyDescent="0.4">
      <c r="A95" s="1">
        <v>45454</v>
      </c>
      <c r="B95">
        <v>181.25</v>
      </c>
      <c r="C95">
        <v>139</v>
      </c>
      <c r="D95">
        <v>128</v>
      </c>
      <c r="E95">
        <v>110.4</v>
      </c>
      <c r="Q95">
        <v>2.09053737738122E-2</v>
      </c>
      <c r="R95">
        <v>1.12169676697155E-2</v>
      </c>
      <c r="S95">
        <v>3.69110613047645E-2</v>
      </c>
      <c r="T95">
        <v>1.8931072021550401E-2</v>
      </c>
    </row>
    <row r="96" spans="1:21" x14ac:dyDescent="0.4">
      <c r="A96" s="1">
        <v>45455</v>
      </c>
      <c r="B96">
        <v>183.65</v>
      </c>
      <c r="C96">
        <v>140.80000000000001</v>
      </c>
      <c r="D96">
        <v>130</v>
      </c>
      <c r="E96">
        <v>110.5</v>
      </c>
      <c r="F96">
        <v>98</v>
      </c>
      <c r="Q96">
        <v>1.5819660961970301E-2</v>
      </c>
      <c r="R96">
        <v>-1.715657148186E-4</v>
      </c>
      <c r="S96">
        <v>3.17553658321491E-2</v>
      </c>
      <c r="T96">
        <v>1.99741251846886E-2</v>
      </c>
      <c r="U96">
        <v>3.4760303219927402E-2</v>
      </c>
    </row>
    <row r="97" spans="1:21" x14ac:dyDescent="0.4">
      <c r="A97" s="1">
        <v>45456</v>
      </c>
      <c r="B97">
        <v>178.05</v>
      </c>
      <c r="C97">
        <v>140.5</v>
      </c>
      <c r="D97">
        <v>128</v>
      </c>
      <c r="E97">
        <v>110.5</v>
      </c>
      <c r="F97">
        <v>98</v>
      </c>
      <c r="Q97">
        <v>3.24680553362659E-2</v>
      </c>
      <c r="R97">
        <v>3.0096320786271E-3</v>
      </c>
      <c r="S97">
        <v>3.9215647319760301E-2</v>
      </c>
      <c r="T97">
        <v>2.1529006503353099E-2</v>
      </c>
      <c r="U97">
        <v>3.5788133273103602E-2</v>
      </c>
    </row>
    <row r="98" spans="1:21" x14ac:dyDescent="0.4">
      <c r="A98" s="1">
        <v>45457</v>
      </c>
      <c r="B98">
        <v>180.45</v>
      </c>
      <c r="C98">
        <v>139</v>
      </c>
      <c r="D98">
        <v>128.75</v>
      </c>
      <c r="E98">
        <v>110.4</v>
      </c>
      <c r="F98">
        <v>95.5</v>
      </c>
      <c r="Q98">
        <v>2.7210072963640301E-2</v>
      </c>
      <c r="R98">
        <v>1.19032248690361E-2</v>
      </c>
      <c r="S98">
        <v>3.79823266422189E-2</v>
      </c>
      <c r="T98">
        <v>2.3600099441554698E-2</v>
      </c>
      <c r="U98">
        <v>4.63183967203874E-2</v>
      </c>
    </row>
    <row r="99" spans="1:21" x14ac:dyDescent="0.4">
      <c r="A99" s="1">
        <v>45461</v>
      </c>
      <c r="B99">
        <v>180.95</v>
      </c>
      <c r="C99">
        <v>139</v>
      </c>
      <c r="D99">
        <v>129.1</v>
      </c>
      <c r="E99">
        <v>108.5</v>
      </c>
      <c r="Q99">
        <v>3.1412046514340201E-2</v>
      </c>
      <c r="R99">
        <v>1.9292188850910101E-2</v>
      </c>
      <c r="S99">
        <v>4.1512466851715002E-2</v>
      </c>
      <c r="T99">
        <v>3.98613503962486E-2</v>
      </c>
    </row>
    <row r="100" spans="1:21" x14ac:dyDescent="0.4">
      <c r="A100" s="1">
        <v>45462</v>
      </c>
      <c r="B100">
        <v>185</v>
      </c>
      <c r="C100">
        <v>140.75</v>
      </c>
      <c r="D100">
        <v>129</v>
      </c>
      <c r="E100">
        <v>109</v>
      </c>
      <c r="F100">
        <v>95.5</v>
      </c>
      <c r="Q100">
        <v>2.1772044083986301E-2</v>
      </c>
      <c r="R100">
        <v>1.2744992505052E-2</v>
      </c>
      <c r="S100">
        <v>4.3001981648611E-2</v>
      </c>
      <c r="T100">
        <v>3.8843345422951703E-2</v>
      </c>
      <c r="U100">
        <v>5.1613494182158999E-2</v>
      </c>
    </row>
    <row r="101" spans="1:21" x14ac:dyDescent="0.4">
      <c r="A101" s="1">
        <v>45467</v>
      </c>
      <c r="B101">
        <v>181.75</v>
      </c>
      <c r="C101">
        <v>139</v>
      </c>
      <c r="D101">
        <v>129.5</v>
      </c>
      <c r="E101">
        <v>110</v>
      </c>
      <c r="Q101">
        <v>3.7701090161592898E-2</v>
      </c>
      <c r="R101">
        <v>3.06854391172941E-2</v>
      </c>
      <c r="S101">
        <v>4.7297128816091202E-2</v>
      </c>
      <c r="T101">
        <v>4.1746598614623598E-2</v>
      </c>
    </row>
    <row r="102" spans="1:21" x14ac:dyDescent="0.4">
      <c r="A102" s="1">
        <v>45468</v>
      </c>
      <c r="B102">
        <v>177.85</v>
      </c>
      <c r="C102">
        <v>138.75</v>
      </c>
      <c r="D102">
        <v>127</v>
      </c>
      <c r="E102">
        <v>107.5</v>
      </c>
      <c r="F102">
        <v>95</v>
      </c>
      <c r="Q102">
        <v>5.0236218781049301E-2</v>
      </c>
      <c r="R102">
        <v>3.3866090238159098E-2</v>
      </c>
      <c r="S102">
        <v>5.6667489448667098E-2</v>
      </c>
      <c r="T102">
        <v>5.6893900267349098E-2</v>
      </c>
      <c r="U102">
        <v>6.0056300389791602E-2</v>
      </c>
    </row>
    <row r="103" spans="1:21" x14ac:dyDescent="0.4">
      <c r="A103" s="1">
        <v>45469</v>
      </c>
      <c r="B103">
        <v>176.1</v>
      </c>
      <c r="C103">
        <v>136.05000000000001</v>
      </c>
      <c r="D103">
        <v>126.5</v>
      </c>
      <c r="E103">
        <v>108</v>
      </c>
      <c r="Q103">
        <v>5.6122850559307401E-2</v>
      </c>
      <c r="R103">
        <v>4.8605092631387799E-2</v>
      </c>
      <c r="S103">
        <v>5.8976630453355501E-2</v>
      </c>
      <c r="T103">
        <v>5.5052191948180798E-2</v>
      </c>
    </row>
    <row r="104" spans="1:21" x14ac:dyDescent="0.4">
      <c r="A104" s="1">
        <v>45470</v>
      </c>
      <c r="B104">
        <v>176.6</v>
      </c>
      <c r="C104">
        <v>136</v>
      </c>
      <c r="D104">
        <v>125.5</v>
      </c>
      <c r="E104">
        <v>108</v>
      </c>
      <c r="Q104">
        <v>5.54424311878665E-2</v>
      </c>
      <c r="R104">
        <v>4.9923499186787103E-2</v>
      </c>
      <c r="S104">
        <v>6.2989943411999205E-2</v>
      </c>
      <c r="T104">
        <v>5.5951979404085403E-2</v>
      </c>
    </row>
    <row r="105" spans="1:21" x14ac:dyDescent="0.4">
      <c r="A105" s="1">
        <v>45471</v>
      </c>
      <c r="B105">
        <v>181.75</v>
      </c>
      <c r="C105">
        <v>136.75</v>
      </c>
      <c r="D105">
        <v>128</v>
      </c>
      <c r="E105">
        <v>109.5</v>
      </c>
      <c r="F105">
        <v>96</v>
      </c>
      <c r="Q105">
        <v>4.1405718596148597E-2</v>
      </c>
      <c r="R105">
        <v>4.7106437131465097E-2</v>
      </c>
      <c r="S105">
        <v>5.5286503120857297E-2</v>
      </c>
      <c r="T105">
        <v>4.8699947986349898E-2</v>
      </c>
      <c r="U105">
        <v>5.7831549463310102E-2</v>
      </c>
    </row>
    <row r="106" spans="1:21" x14ac:dyDescent="0.4">
      <c r="A106" s="1">
        <v>45474</v>
      </c>
      <c r="B106">
        <v>177.5</v>
      </c>
      <c r="C106">
        <v>137.5</v>
      </c>
      <c r="D106">
        <v>127</v>
      </c>
      <c r="E106">
        <v>107.5</v>
      </c>
      <c r="Q106">
        <v>5.5964737926205703E-2</v>
      </c>
      <c r="R106">
        <v>4.6418127980129398E-2</v>
      </c>
      <c r="S106">
        <v>6.0553776724692997E-2</v>
      </c>
      <c r="T106">
        <v>6.2365237772170803E-2</v>
      </c>
    </row>
    <row r="107" spans="1:21" x14ac:dyDescent="0.4">
      <c r="A107" s="1">
        <v>45475</v>
      </c>
      <c r="B107">
        <v>178.5</v>
      </c>
      <c r="C107">
        <v>137.5</v>
      </c>
      <c r="D107">
        <v>127.5</v>
      </c>
      <c r="E107">
        <v>109</v>
      </c>
      <c r="Q107">
        <v>5.3828347562789002E-2</v>
      </c>
      <c r="R107">
        <v>4.7480929093722098E-2</v>
      </c>
      <c r="S107">
        <v>5.9533860639304999E-2</v>
      </c>
      <c r="T107">
        <v>5.4995443091998102E-2</v>
      </c>
    </row>
    <row r="108" spans="1:21" x14ac:dyDescent="0.4">
      <c r="A108" s="1">
        <v>45476</v>
      </c>
      <c r="B108">
        <v>181.25</v>
      </c>
      <c r="C108">
        <v>139.15</v>
      </c>
      <c r="D108">
        <v>128.5</v>
      </c>
      <c r="E108">
        <v>110.25</v>
      </c>
      <c r="Q108">
        <v>4.6666170469166102E-2</v>
      </c>
      <c r="R108">
        <v>4.0087414584649303E-2</v>
      </c>
      <c r="S108">
        <v>5.6860593091414897E-2</v>
      </c>
      <c r="T108">
        <v>4.91103834369176E-2</v>
      </c>
    </row>
    <row r="109" spans="1:21" x14ac:dyDescent="0.4">
      <c r="A109" s="1">
        <v>45477</v>
      </c>
      <c r="B109">
        <v>182.5</v>
      </c>
      <c r="C109">
        <v>140.6</v>
      </c>
      <c r="D109">
        <v>130</v>
      </c>
      <c r="E109">
        <v>110.9</v>
      </c>
      <c r="Q109">
        <v>4.3880348566177098E-2</v>
      </c>
      <c r="R109">
        <v>3.3816884210536399E-2</v>
      </c>
      <c r="S109">
        <v>5.2579220014981103E-2</v>
      </c>
      <c r="T109">
        <v>4.6512215292703399E-2</v>
      </c>
    </row>
    <row r="110" spans="1:21" x14ac:dyDescent="0.4">
      <c r="A110" s="1">
        <v>45478</v>
      </c>
      <c r="B110">
        <v>183.9</v>
      </c>
      <c r="C110">
        <v>141</v>
      </c>
      <c r="D110">
        <v>131.25</v>
      </c>
      <c r="E110">
        <v>110.75</v>
      </c>
      <c r="F110">
        <v>97</v>
      </c>
      <c r="Q110">
        <v>4.0696816680363498E-2</v>
      </c>
      <c r="R110">
        <v>3.2846711175703799E-2</v>
      </c>
      <c r="S110">
        <v>4.9166514652158599E-2</v>
      </c>
      <c r="T110">
        <v>4.8207914139159598E-2</v>
      </c>
      <c r="U110">
        <v>5.7957419089232701E-2</v>
      </c>
    </row>
    <row r="111" spans="1:21" x14ac:dyDescent="0.4">
      <c r="A111" s="1">
        <v>45481</v>
      </c>
      <c r="B111">
        <v>181.9</v>
      </c>
      <c r="C111">
        <v>139.19999999999999</v>
      </c>
      <c r="D111">
        <v>128.5</v>
      </c>
      <c r="E111">
        <v>109.75</v>
      </c>
      <c r="F111">
        <v>99</v>
      </c>
      <c r="Q111">
        <v>4.8709140792661497E-2</v>
      </c>
      <c r="R111">
        <v>4.5123191070499197E-2</v>
      </c>
      <c r="S111">
        <v>6.11281259931633E-2</v>
      </c>
      <c r="T111">
        <v>5.6358774916908001E-2</v>
      </c>
      <c r="U111">
        <v>5.19232266396931E-2</v>
      </c>
    </row>
    <row r="112" spans="1:21" x14ac:dyDescent="0.4">
      <c r="A112" s="1">
        <v>45483</v>
      </c>
      <c r="B112">
        <v>182.25</v>
      </c>
      <c r="C112">
        <v>139.75</v>
      </c>
      <c r="D112">
        <v>129.75</v>
      </c>
      <c r="E112">
        <v>109.75</v>
      </c>
      <c r="F112">
        <v>93</v>
      </c>
      <c r="Q112">
        <v>4.9278094661503298E-2</v>
      </c>
      <c r="R112">
        <v>4.4436144051827699E-2</v>
      </c>
      <c r="S112">
        <v>5.7286845187381398E-2</v>
      </c>
      <c r="T112">
        <v>5.82028344550998E-2</v>
      </c>
      <c r="U112">
        <v>7.7192962983535701E-2</v>
      </c>
    </row>
    <row r="113" spans="1:21" x14ac:dyDescent="0.4">
      <c r="A113" s="1">
        <v>45484</v>
      </c>
      <c r="B113">
        <v>183.25</v>
      </c>
      <c r="C113">
        <v>142.05000000000001</v>
      </c>
      <c r="D113">
        <v>131.25</v>
      </c>
      <c r="E113">
        <v>111.5</v>
      </c>
      <c r="F113">
        <v>95</v>
      </c>
      <c r="Q113">
        <v>4.7196034688312197E-2</v>
      </c>
      <c r="R113">
        <v>3.3807199817700799E-2</v>
      </c>
      <c r="S113">
        <v>5.3017971551650597E-2</v>
      </c>
      <c r="T113">
        <v>4.9569125182661003E-2</v>
      </c>
      <c r="U113">
        <v>6.9527267604486201E-2</v>
      </c>
    </row>
    <row r="114" spans="1:21" x14ac:dyDescent="0.4">
      <c r="A114" s="1">
        <v>45485</v>
      </c>
      <c r="B114">
        <v>185.75</v>
      </c>
      <c r="C114">
        <v>143.25</v>
      </c>
      <c r="D114">
        <v>133.25</v>
      </c>
      <c r="E114">
        <v>114</v>
      </c>
      <c r="F114">
        <v>95.5</v>
      </c>
      <c r="Q114">
        <v>4.0887748389056101E-2</v>
      </c>
      <c r="R114">
        <v>2.88555320556587E-2</v>
      </c>
      <c r="S114">
        <v>4.7211578006006998E-2</v>
      </c>
      <c r="T114">
        <v>3.7187683235762499E-2</v>
      </c>
      <c r="U114">
        <v>6.8095533899755201E-2</v>
      </c>
    </row>
    <row r="115" spans="1:21" x14ac:dyDescent="0.4">
      <c r="A115" s="1">
        <v>45488</v>
      </c>
      <c r="B115">
        <v>184</v>
      </c>
      <c r="C115">
        <v>140.5</v>
      </c>
      <c r="D115">
        <v>132.5</v>
      </c>
      <c r="E115">
        <v>112</v>
      </c>
      <c r="F115">
        <v>95.5</v>
      </c>
      <c r="Q115">
        <v>4.8205402791723299E-2</v>
      </c>
      <c r="R115">
        <v>4.5967604436125901E-2</v>
      </c>
      <c r="S115">
        <v>5.1551040622786801E-2</v>
      </c>
      <c r="T115">
        <v>5.05073334359517E-2</v>
      </c>
      <c r="U115">
        <v>6.9910013157335901E-2</v>
      </c>
    </row>
    <row r="116" spans="1:21" x14ac:dyDescent="0.4">
      <c r="A116" s="1">
        <v>45489</v>
      </c>
      <c r="B116">
        <v>181</v>
      </c>
      <c r="C116">
        <v>140</v>
      </c>
      <c r="D116">
        <v>128.5</v>
      </c>
      <c r="E116">
        <v>111</v>
      </c>
      <c r="Q116">
        <v>5.77304092633978E-2</v>
      </c>
      <c r="R116">
        <v>4.9660562497163399E-2</v>
      </c>
      <c r="S116">
        <v>6.5447404832915002E-2</v>
      </c>
      <c r="T116">
        <v>5.6886604557024802E-2</v>
      </c>
    </row>
    <row r="117" spans="1:21" x14ac:dyDescent="0.4">
      <c r="A117" s="1">
        <v>45490</v>
      </c>
      <c r="B117">
        <v>180.25</v>
      </c>
      <c r="C117">
        <v>141.5</v>
      </c>
      <c r="D117">
        <v>127.5</v>
      </c>
      <c r="E117">
        <v>110</v>
      </c>
      <c r="F117">
        <v>97</v>
      </c>
      <c r="Q117">
        <v>6.0767964024421903E-2</v>
      </c>
      <c r="R117">
        <v>4.29802320960967E-2</v>
      </c>
      <c r="S117">
        <v>6.9530280354953594E-2</v>
      </c>
      <c r="T117">
        <v>6.3375140782408607E-2</v>
      </c>
      <c r="U117">
        <v>6.5056180109105896E-2</v>
      </c>
    </row>
    <row r="118" spans="1:21" x14ac:dyDescent="0.4">
      <c r="A118" s="1">
        <v>45491</v>
      </c>
      <c r="B118">
        <v>179.95</v>
      </c>
      <c r="C118">
        <v>139.1</v>
      </c>
      <c r="D118">
        <v>126.75</v>
      </c>
      <c r="E118">
        <v>110.25</v>
      </c>
      <c r="F118">
        <v>97</v>
      </c>
      <c r="Q118">
        <v>6.2486203705080498E-2</v>
      </c>
      <c r="R118">
        <v>5.6625796127061798E-2</v>
      </c>
      <c r="S118">
        <v>7.2798338207542196E-2</v>
      </c>
      <c r="T118">
        <v>6.2926433077760205E-2</v>
      </c>
      <c r="U118">
        <v>6.5657725524848901E-2</v>
      </c>
    </row>
    <row r="119" spans="1:21" x14ac:dyDescent="0.4">
      <c r="A119" s="1">
        <v>45492</v>
      </c>
      <c r="B119">
        <v>179</v>
      </c>
      <c r="C119">
        <v>138</v>
      </c>
      <c r="D119">
        <v>126.25</v>
      </c>
      <c r="E119">
        <v>108.1</v>
      </c>
      <c r="Q119">
        <v>6.6168396120594594E-2</v>
      </c>
      <c r="R119">
        <v>6.3652604413978006E-2</v>
      </c>
      <c r="S119">
        <v>7.5225961254698395E-2</v>
      </c>
      <c r="T119">
        <v>7.6113142759521704E-2</v>
      </c>
    </row>
    <row r="120" spans="1:21" x14ac:dyDescent="0.4">
      <c r="A120" s="1">
        <v>45495</v>
      </c>
      <c r="B120">
        <v>180.7</v>
      </c>
      <c r="C120">
        <v>139</v>
      </c>
      <c r="D120">
        <v>127</v>
      </c>
      <c r="E120">
        <v>109.55</v>
      </c>
      <c r="Q120">
        <v>6.3567119138527903E-2</v>
      </c>
      <c r="R120">
        <v>6.1712261588831897E-2</v>
      </c>
      <c r="S120">
        <v>7.4693927092026796E-2</v>
      </c>
      <c r="T120">
        <v>7.07276731431076E-2</v>
      </c>
    </row>
    <row r="121" spans="1:21" x14ac:dyDescent="0.4">
      <c r="A121" s="1">
        <v>45496</v>
      </c>
      <c r="B121">
        <v>180.85</v>
      </c>
      <c r="C121">
        <v>139</v>
      </c>
      <c r="D121">
        <v>128.5</v>
      </c>
      <c r="E121">
        <v>109.6</v>
      </c>
      <c r="F121">
        <v>96</v>
      </c>
      <c r="Q121">
        <v>6.3953177964734001E-2</v>
      </c>
      <c r="R121">
        <v>6.28652658304132E-2</v>
      </c>
      <c r="S121">
        <v>7.0206374042151506E-2</v>
      </c>
      <c r="T121">
        <v>7.1419239919666699E-2</v>
      </c>
      <c r="U121">
        <v>7.2760692729700094E-2</v>
      </c>
    </row>
    <row r="122" spans="1:21" x14ac:dyDescent="0.4">
      <c r="A122" s="1">
        <v>45497</v>
      </c>
      <c r="B122">
        <v>179.5</v>
      </c>
      <c r="C122">
        <v>139.1</v>
      </c>
      <c r="D122">
        <v>127</v>
      </c>
      <c r="E122">
        <v>109</v>
      </c>
      <c r="F122">
        <v>98</v>
      </c>
      <c r="Q122">
        <v>6.8867027436498099E-2</v>
      </c>
      <c r="R122">
        <v>6.34831798501794E-2</v>
      </c>
      <c r="S122">
        <v>7.6086153168453699E-2</v>
      </c>
      <c r="T122">
        <v>7.5851623470456903E-2</v>
      </c>
      <c r="U122">
        <v>6.5278733726762503E-2</v>
      </c>
    </row>
    <row r="123" spans="1:21" x14ac:dyDescent="0.4">
      <c r="A123" s="1">
        <v>45498</v>
      </c>
      <c r="B123">
        <v>177</v>
      </c>
      <c r="C123">
        <v>137</v>
      </c>
      <c r="D123">
        <v>126</v>
      </c>
      <c r="E123">
        <v>109.5</v>
      </c>
      <c r="F123">
        <v>97</v>
      </c>
      <c r="Q123">
        <v>7.7405571886867294E-2</v>
      </c>
      <c r="R123">
        <v>7.6185444226172905E-2</v>
      </c>
      <c r="S123">
        <v>8.0301200721439606E-2</v>
      </c>
      <c r="T123">
        <v>7.3959498096481502E-2</v>
      </c>
      <c r="U123">
        <v>6.9912524719217495E-2</v>
      </c>
    </row>
    <row r="124" spans="1:21" x14ac:dyDescent="0.4">
      <c r="A124" s="1">
        <v>45499</v>
      </c>
      <c r="B124">
        <v>175</v>
      </c>
      <c r="C124">
        <v>138.80000000000001</v>
      </c>
      <c r="D124">
        <v>123.95</v>
      </c>
      <c r="E124">
        <v>106.7</v>
      </c>
      <c r="F124">
        <v>97</v>
      </c>
      <c r="Q124">
        <v>8.4603705062248E-2</v>
      </c>
      <c r="R124">
        <v>6.7510421377535296E-2</v>
      </c>
      <c r="S124">
        <v>8.8390005168628494E-2</v>
      </c>
      <c r="T124">
        <v>9.1478386400584297E-2</v>
      </c>
      <c r="U124">
        <v>7.0557993639810898E-2</v>
      </c>
    </row>
    <row r="125" spans="1:21" x14ac:dyDescent="0.4">
      <c r="A125" s="1">
        <v>45502</v>
      </c>
      <c r="B125">
        <v>168.85</v>
      </c>
      <c r="C125">
        <v>134.30000000000001</v>
      </c>
      <c r="D125">
        <v>119</v>
      </c>
      <c r="E125">
        <v>104</v>
      </c>
      <c r="F125">
        <v>96</v>
      </c>
      <c r="Q125">
        <v>0.107571545495303</v>
      </c>
      <c r="R125">
        <v>9.6768666391534405E-2</v>
      </c>
      <c r="S125">
        <v>0.1092436949071839</v>
      </c>
      <c r="T125">
        <v>0.1114419446841699</v>
      </c>
      <c r="U125">
        <v>7.6616288056935405E-2</v>
      </c>
    </row>
    <row r="126" spans="1:21" x14ac:dyDescent="0.4">
      <c r="A126" s="1">
        <v>45503</v>
      </c>
      <c r="B126">
        <v>173</v>
      </c>
      <c r="C126">
        <v>136.9</v>
      </c>
      <c r="D126">
        <v>121</v>
      </c>
      <c r="E126">
        <v>105.6</v>
      </c>
      <c r="F126">
        <v>95</v>
      </c>
      <c r="Q126">
        <v>9.4803190076817895E-2</v>
      </c>
      <c r="R126">
        <v>8.3142859296694696E-2</v>
      </c>
      <c r="S126">
        <v>0.1023970935875073</v>
      </c>
      <c r="T126">
        <v>0.1025925011929963</v>
      </c>
      <c r="U126">
        <v>8.1452858050687194E-2</v>
      </c>
    </row>
    <row r="127" spans="1:21" x14ac:dyDescent="0.4">
      <c r="A127" s="1">
        <v>45504</v>
      </c>
      <c r="B127">
        <v>170.15</v>
      </c>
      <c r="C127">
        <v>133.75</v>
      </c>
      <c r="D127">
        <v>119</v>
      </c>
      <c r="E127">
        <v>103.9</v>
      </c>
      <c r="Q127">
        <v>0.1051779783759558</v>
      </c>
      <c r="R127">
        <v>0.1026979471393569</v>
      </c>
      <c r="S127">
        <v>0.1108464778251544</v>
      </c>
      <c r="T127">
        <v>0.1143745527700743</v>
      </c>
    </row>
    <row r="128" spans="1:21" x14ac:dyDescent="0.4">
      <c r="A128" s="1">
        <v>45505</v>
      </c>
      <c r="B128">
        <v>168.5</v>
      </c>
      <c r="C128">
        <v>134</v>
      </c>
      <c r="D128">
        <v>117.5</v>
      </c>
      <c r="E128">
        <v>102.5</v>
      </c>
      <c r="F128">
        <v>89.5</v>
      </c>
      <c r="Q128">
        <v>0.1117371934122684</v>
      </c>
      <c r="R128">
        <v>0.1025830280271967</v>
      </c>
      <c r="S128">
        <v>0.117529106443679</v>
      </c>
      <c r="T128">
        <v>0.1245443816437215</v>
      </c>
      <c r="U128">
        <v>0.1069730795873465</v>
      </c>
    </row>
    <row r="129" spans="1:21" x14ac:dyDescent="0.4">
      <c r="A129" s="1">
        <v>45506</v>
      </c>
      <c r="B129">
        <v>172</v>
      </c>
      <c r="C129">
        <v>135</v>
      </c>
      <c r="D129">
        <v>119.5</v>
      </c>
      <c r="E129">
        <v>105</v>
      </c>
      <c r="F129">
        <v>90</v>
      </c>
      <c r="Q129">
        <v>0.10098648437340089</v>
      </c>
      <c r="R129">
        <v>9.8057106847088696E-2</v>
      </c>
      <c r="S129">
        <v>0.1105195619009202</v>
      </c>
      <c r="T129">
        <v>0.1097315605046164</v>
      </c>
      <c r="U129">
        <v>0.10539906975541451</v>
      </c>
    </row>
    <row r="130" spans="1:21" x14ac:dyDescent="0.4">
      <c r="A130" s="1">
        <v>45509</v>
      </c>
      <c r="B130">
        <v>172.5</v>
      </c>
      <c r="C130">
        <v>135.4</v>
      </c>
      <c r="D130">
        <v>120</v>
      </c>
      <c r="E130">
        <v>105.35</v>
      </c>
      <c r="F130">
        <v>91</v>
      </c>
      <c r="Q130">
        <v>0.1022729205720925</v>
      </c>
      <c r="R130">
        <v>9.9786935685647699E-2</v>
      </c>
      <c r="S130">
        <v>0.1110068385883585</v>
      </c>
      <c r="T130">
        <v>0.1109858190565465</v>
      </c>
      <c r="U130">
        <v>0.102991600537223</v>
      </c>
    </row>
    <row r="131" spans="1:21" x14ac:dyDescent="0.4">
      <c r="A131" s="1">
        <v>45510</v>
      </c>
      <c r="B131">
        <v>172.5</v>
      </c>
      <c r="C131">
        <v>135.5</v>
      </c>
      <c r="D131">
        <v>120.45</v>
      </c>
      <c r="E131">
        <v>106</v>
      </c>
      <c r="F131">
        <v>92</v>
      </c>
      <c r="Q131">
        <v>0.1032589859528175</v>
      </c>
      <c r="R131">
        <v>0.100566873397825</v>
      </c>
      <c r="S131">
        <v>0.1100782655851953</v>
      </c>
      <c r="T131">
        <v>0.108061236719913</v>
      </c>
      <c r="U131">
        <v>9.9217843335599701E-2</v>
      </c>
    </row>
    <row r="132" spans="1:21" x14ac:dyDescent="0.4">
      <c r="A132" s="1">
        <v>45511</v>
      </c>
      <c r="B132">
        <v>172.85</v>
      </c>
      <c r="C132">
        <v>136</v>
      </c>
      <c r="D132">
        <v>121.25</v>
      </c>
      <c r="E132">
        <v>106.3</v>
      </c>
      <c r="Q132">
        <v>0.1030849942501057</v>
      </c>
      <c r="R132">
        <v>9.8994168438072599E-2</v>
      </c>
      <c r="S132">
        <v>0.10781342066109099</v>
      </c>
      <c r="T132">
        <v>0.1073377622327952</v>
      </c>
    </row>
    <row r="133" spans="1:21" x14ac:dyDescent="0.4">
      <c r="A133" s="1">
        <v>45512</v>
      </c>
      <c r="B133">
        <v>174.5</v>
      </c>
      <c r="C133">
        <v>137.25</v>
      </c>
      <c r="D133">
        <v>122.4</v>
      </c>
      <c r="E133">
        <v>106.75</v>
      </c>
      <c r="F133">
        <v>92</v>
      </c>
      <c r="Q133">
        <v>9.8624519481490605E-2</v>
      </c>
      <c r="R133">
        <v>9.3054716069503204E-2</v>
      </c>
      <c r="S133">
        <v>0.1042421059681705</v>
      </c>
      <c r="T133">
        <v>0.10568438715815549</v>
      </c>
      <c r="U133">
        <v>0.1006241018514456</v>
      </c>
    </row>
    <row r="134" spans="1:21" x14ac:dyDescent="0.4">
      <c r="A134" s="1">
        <v>45513</v>
      </c>
      <c r="B134">
        <v>175.4</v>
      </c>
      <c r="C134">
        <v>137.5</v>
      </c>
      <c r="D134">
        <v>124</v>
      </c>
      <c r="E134">
        <v>107.25</v>
      </c>
      <c r="F134">
        <v>90.5</v>
      </c>
      <c r="Q134">
        <v>9.6658897554366102E-2</v>
      </c>
      <c r="R134">
        <v>9.2957404054905199E-2</v>
      </c>
      <c r="S134">
        <v>9.9036985936397204E-2</v>
      </c>
      <c r="T134">
        <v>0.10373038501644739</v>
      </c>
      <c r="U134">
        <v>0.10811188436542329</v>
      </c>
    </row>
    <row r="135" spans="1:21" x14ac:dyDescent="0.4">
      <c r="A135" s="1">
        <v>45516</v>
      </c>
      <c r="B135">
        <v>176.6</v>
      </c>
      <c r="C135">
        <v>138.5</v>
      </c>
      <c r="D135">
        <v>124.7</v>
      </c>
      <c r="E135">
        <v>108</v>
      </c>
      <c r="Q135">
        <v>9.5684018259350301E-2</v>
      </c>
      <c r="R135">
        <v>9.1229494241835005E-2</v>
      </c>
      <c r="S135">
        <v>9.8810166866275695E-2</v>
      </c>
      <c r="T135">
        <v>0.1025349549530057</v>
      </c>
    </row>
    <row r="136" spans="1:21" x14ac:dyDescent="0.4">
      <c r="A136" s="1">
        <v>45517</v>
      </c>
      <c r="B136">
        <v>178.8</v>
      </c>
      <c r="C136">
        <v>139.5</v>
      </c>
      <c r="D136">
        <v>125.7</v>
      </c>
      <c r="E136">
        <v>109</v>
      </c>
      <c r="F136">
        <v>92</v>
      </c>
      <c r="Q136">
        <v>8.9562620920771399E-2</v>
      </c>
      <c r="R136">
        <v>8.68192507306597E-2</v>
      </c>
      <c r="S136">
        <v>9.5907605227769296E-2</v>
      </c>
      <c r="T136">
        <v>9.7546758390766097E-2</v>
      </c>
      <c r="U136">
        <v>0.1041733003887359</v>
      </c>
    </row>
    <row r="137" spans="1:21" x14ac:dyDescent="0.4">
      <c r="A137" s="1">
        <v>45518</v>
      </c>
      <c r="B137">
        <v>180.75</v>
      </c>
      <c r="C137">
        <v>140</v>
      </c>
      <c r="D137">
        <v>127.25</v>
      </c>
      <c r="E137">
        <v>110</v>
      </c>
      <c r="Q137">
        <v>8.4331132991668695E-2</v>
      </c>
      <c r="R137">
        <v>8.5300243643840007E-2</v>
      </c>
      <c r="S137">
        <v>9.1038661057910003E-2</v>
      </c>
      <c r="T137">
        <v>9.2620010727600496E-2</v>
      </c>
    </row>
    <row r="138" spans="1:21" x14ac:dyDescent="0.4">
      <c r="A138" s="1">
        <v>45519</v>
      </c>
      <c r="B138">
        <v>183.6</v>
      </c>
      <c r="C138">
        <v>142.75</v>
      </c>
      <c r="D138">
        <v>130.75</v>
      </c>
      <c r="E138">
        <v>111.5</v>
      </c>
      <c r="Q138">
        <v>7.6388305102819701E-2</v>
      </c>
      <c r="R138">
        <v>7.1133687912674701E-2</v>
      </c>
      <c r="S138">
        <v>7.9373296337832494E-2</v>
      </c>
      <c r="T138">
        <v>8.4789724619765403E-2</v>
      </c>
    </row>
    <row r="139" spans="1:21" x14ac:dyDescent="0.4">
      <c r="A139" s="1">
        <v>45520</v>
      </c>
      <c r="B139">
        <v>187.8</v>
      </c>
      <c r="C139">
        <v>145.25</v>
      </c>
      <c r="D139">
        <v>132.55000000000001</v>
      </c>
      <c r="E139">
        <v>114.5</v>
      </c>
      <c r="F139">
        <v>97.5</v>
      </c>
      <c r="Q139">
        <v>6.4560511891797304E-2</v>
      </c>
      <c r="R139">
        <v>5.8733356342441201E-2</v>
      </c>
      <c r="S139">
        <v>7.3903379600375504E-2</v>
      </c>
      <c r="T139">
        <v>6.8504983572682907E-2</v>
      </c>
      <c r="U139">
        <v>8.2423569589097301E-2</v>
      </c>
    </row>
    <row r="140" spans="1:21" x14ac:dyDescent="0.4">
      <c r="A140" s="1">
        <v>45523</v>
      </c>
      <c r="B140">
        <v>186</v>
      </c>
      <c r="C140">
        <v>144.75</v>
      </c>
      <c r="D140">
        <v>131</v>
      </c>
      <c r="E140">
        <v>113.75</v>
      </c>
      <c r="F140">
        <v>99.9</v>
      </c>
      <c r="Q140">
        <v>7.2766601669210895E-2</v>
      </c>
      <c r="R140">
        <v>6.5284424774437494E-2</v>
      </c>
      <c r="S140">
        <v>8.1548165409292495E-2</v>
      </c>
      <c r="T140">
        <v>7.6026179959468504E-2</v>
      </c>
      <c r="U140">
        <v>7.4566870568647095E-2</v>
      </c>
    </row>
    <row r="141" spans="1:21" x14ac:dyDescent="0.4">
      <c r="A141" s="1">
        <v>45524</v>
      </c>
      <c r="B141">
        <v>186.95</v>
      </c>
      <c r="C141">
        <v>145</v>
      </c>
      <c r="D141">
        <v>132.25</v>
      </c>
      <c r="E141">
        <v>114.5</v>
      </c>
      <c r="F141">
        <v>97.5</v>
      </c>
      <c r="Q141">
        <v>7.0806800414332696E-2</v>
      </c>
      <c r="R141">
        <v>6.5205368597529997E-2</v>
      </c>
      <c r="S141">
        <v>7.7955510200972397E-2</v>
      </c>
      <c r="T141">
        <v>7.2791356253433595E-2</v>
      </c>
      <c r="U141">
        <v>8.51595989368433E-2</v>
      </c>
    </row>
    <row r="142" spans="1:21" x14ac:dyDescent="0.4">
      <c r="A142" s="1">
        <v>45525</v>
      </c>
      <c r="B142">
        <v>188.5</v>
      </c>
      <c r="C142">
        <v>147.30000000000001</v>
      </c>
      <c r="D142">
        <v>132.80000000000001</v>
      </c>
      <c r="E142">
        <v>115</v>
      </c>
      <c r="F142">
        <v>98.5</v>
      </c>
      <c r="Q142">
        <v>6.7051736751591595E-2</v>
      </c>
      <c r="R142">
        <v>5.40143916292911E-2</v>
      </c>
      <c r="S142">
        <v>7.6813535296189894E-2</v>
      </c>
      <c r="T142">
        <v>7.1008951092842401E-2</v>
      </c>
      <c r="U142">
        <v>8.1666392552181805E-2</v>
      </c>
    </row>
    <row r="143" spans="1:21" x14ac:dyDescent="0.4">
      <c r="A143" s="1">
        <v>45526</v>
      </c>
      <c r="B143">
        <v>189</v>
      </c>
      <c r="C143">
        <v>146.75</v>
      </c>
      <c r="D143">
        <v>133.5</v>
      </c>
      <c r="E143">
        <v>115.2</v>
      </c>
      <c r="F143">
        <v>99</v>
      </c>
      <c r="Q143">
        <v>6.64743811751944E-2</v>
      </c>
      <c r="R143">
        <v>5.8242538282969401E-2</v>
      </c>
      <c r="S143">
        <v>7.5162926099806598E-2</v>
      </c>
      <c r="T143">
        <v>7.0945705318624597E-2</v>
      </c>
      <c r="U143">
        <v>8.0277440812442799E-2</v>
      </c>
    </row>
    <row r="144" spans="1:21" x14ac:dyDescent="0.4">
      <c r="A144" s="1">
        <v>45527</v>
      </c>
      <c r="B144">
        <v>190</v>
      </c>
      <c r="C144">
        <v>147.55000000000001</v>
      </c>
      <c r="D144">
        <v>133.6</v>
      </c>
      <c r="E144">
        <v>116</v>
      </c>
      <c r="F144">
        <v>99.9</v>
      </c>
      <c r="Q144">
        <v>6.4404734688304696E-2</v>
      </c>
      <c r="R144">
        <v>5.5201763849687398E-2</v>
      </c>
      <c r="S144">
        <v>7.55772022369081E-2</v>
      </c>
      <c r="T144">
        <v>6.74719958579858E-2</v>
      </c>
      <c r="U144">
        <v>7.7258606864190504E-2</v>
      </c>
    </row>
    <row r="145" spans="1:21" x14ac:dyDescent="0.4">
      <c r="A145" s="1">
        <v>45530</v>
      </c>
      <c r="B145">
        <v>190.85</v>
      </c>
      <c r="C145">
        <v>148.30000000000001</v>
      </c>
      <c r="D145">
        <v>134.5</v>
      </c>
      <c r="E145">
        <v>116.5</v>
      </c>
      <c r="F145">
        <v>98</v>
      </c>
      <c r="Q145">
        <v>6.4531825205873805E-2</v>
      </c>
      <c r="R145">
        <v>5.4838229614961202E-2</v>
      </c>
      <c r="S145">
        <v>7.4684362901887194E-2</v>
      </c>
      <c r="T145">
        <v>6.7742620362353498E-2</v>
      </c>
      <c r="U145">
        <v>8.7127513126651901E-2</v>
      </c>
    </row>
    <row r="146" spans="1:21" x14ac:dyDescent="0.4">
      <c r="A146" s="1">
        <v>45531</v>
      </c>
      <c r="B146">
        <v>192.95</v>
      </c>
      <c r="C146">
        <v>149.94999999999999</v>
      </c>
      <c r="D146">
        <v>135.15</v>
      </c>
      <c r="E146">
        <v>117</v>
      </c>
      <c r="F146">
        <v>98.25</v>
      </c>
      <c r="Q146">
        <v>5.9125385373621303E-2</v>
      </c>
      <c r="R146">
        <v>4.7150701002775297E-2</v>
      </c>
      <c r="S146">
        <v>7.3139863880128206E-2</v>
      </c>
      <c r="T146">
        <v>6.5868386551809696E-2</v>
      </c>
      <c r="U146">
        <v>8.6692994164493803E-2</v>
      </c>
    </row>
    <row r="147" spans="1:21" x14ac:dyDescent="0.4">
      <c r="A147" s="1">
        <v>45532</v>
      </c>
      <c r="B147">
        <v>193.5</v>
      </c>
      <c r="C147">
        <v>150.6</v>
      </c>
      <c r="D147">
        <v>137.75</v>
      </c>
      <c r="E147">
        <v>117.75</v>
      </c>
      <c r="F147">
        <v>100</v>
      </c>
      <c r="Q147">
        <v>5.8317846458915398E-2</v>
      </c>
      <c r="R147">
        <v>4.4821264501137097E-2</v>
      </c>
      <c r="S147">
        <v>6.5068979868239604E-2</v>
      </c>
      <c r="T147">
        <v>6.2600322211139203E-2</v>
      </c>
      <c r="U147">
        <v>8.0024143222906102E-2</v>
      </c>
    </row>
    <row r="148" spans="1:21" x14ac:dyDescent="0.4">
      <c r="A148" s="1">
        <v>45533</v>
      </c>
      <c r="B148">
        <v>193.3</v>
      </c>
      <c r="C148">
        <v>150</v>
      </c>
      <c r="D148">
        <v>137</v>
      </c>
      <c r="E148">
        <v>117.25</v>
      </c>
      <c r="F148">
        <v>99.1</v>
      </c>
      <c r="Q148">
        <v>5.9715784010958402E-2</v>
      </c>
      <c r="R148">
        <v>4.9107459391342603E-2</v>
      </c>
      <c r="S148">
        <v>6.8230644565502194E-2</v>
      </c>
      <c r="T148">
        <v>6.6365706473345207E-2</v>
      </c>
      <c r="U148">
        <v>8.4866811895410704E-2</v>
      </c>
    </row>
    <row r="149" spans="1:21" x14ac:dyDescent="0.4">
      <c r="A149" s="1">
        <v>45534</v>
      </c>
      <c r="B149">
        <v>193.25</v>
      </c>
      <c r="C149">
        <v>150</v>
      </c>
      <c r="D149">
        <v>136.9</v>
      </c>
      <c r="E149">
        <v>117</v>
      </c>
      <c r="F149">
        <v>99</v>
      </c>
      <c r="Q149">
        <v>6.0677059686800802E-2</v>
      </c>
      <c r="R149">
        <v>5.0226927176061802E-2</v>
      </c>
      <c r="S149">
        <v>6.9232111690648399E-2</v>
      </c>
      <c r="T149">
        <v>6.8744827575763903E-2</v>
      </c>
      <c r="U149">
        <v>8.5400943852839695E-2</v>
      </c>
    </row>
    <row r="150" spans="1:21" x14ac:dyDescent="0.4">
      <c r="A150" s="1">
        <v>45537</v>
      </c>
      <c r="B150">
        <v>192.5</v>
      </c>
      <c r="C150">
        <v>150</v>
      </c>
      <c r="D150">
        <v>137</v>
      </c>
      <c r="E150">
        <v>116.5</v>
      </c>
      <c r="F150">
        <v>100.5</v>
      </c>
      <c r="Q150">
        <v>6.5374405519307593E-2</v>
      </c>
      <c r="R150">
        <v>5.3621296751367099E-2</v>
      </c>
      <c r="S150">
        <v>7.0905618948797197E-2</v>
      </c>
      <c r="T150">
        <v>7.4536470155901896E-2</v>
      </c>
      <c r="U150">
        <v>8.1020369329955905E-2</v>
      </c>
    </row>
    <row r="151" spans="1:21" x14ac:dyDescent="0.4">
      <c r="A151" s="1">
        <v>45538</v>
      </c>
      <c r="B151">
        <v>192</v>
      </c>
      <c r="C151">
        <v>149</v>
      </c>
      <c r="D151">
        <v>135.65</v>
      </c>
      <c r="E151">
        <v>116.1</v>
      </c>
      <c r="F151">
        <v>101.5</v>
      </c>
      <c r="Q151">
        <v>6.7708112605332493E-2</v>
      </c>
      <c r="R151">
        <v>6.0206103634854E-2</v>
      </c>
      <c r="S151">
        <v>7.6175401376667604E-2</v>
      </c>
      <c r="T151">
        <v>7.7846698221563995E-2</v>
      </c>
      <c r="U151">
        <v>7.7536572126786205E-2</v>
      </c>
    </row>
    <row r="152" spans="1:21" x14ac:dyDescent="0.4">
      <c r="A152" s="1">
        <v>45539</v>
      </c>
      <c r="B152">
        <v>192.5</v>
      </c>
      <c r="C152">
        <v>149.25</v>
      </c>
      <c r="D152">
        <v>135.15</v>
      </c>
      <c r="E152">
        <v>116.1</v>
      </c>
      <c r="F152">
        <v>101</v>
      </c>
      <c r="Q152">
        <v>6.70405290384022E-2</v>
      </c>
      <c r="R152">
        <v>6.0002741543264501E-2</v>
      </c>
      <c r="S152">
        <v>7.85817371996132E-2</v>
      </c>
      <c r="T152">
        <v>7.8844943386208996E-2</v>
      </c>
      <c r="U152">
        <v>8.0191094108681596E-2</v>
      </c>
    </row>
    <row r="153" spans="1:21" x14ac:dyDescent="0.4">
      <c r="A153" s="1">
        <v>45540</v>
      </c>
      <c r="B153">
        <v>192.25</v>
      </c>
      <c r="C153">
        <v>149.4</v>
      </c>
      <c r="D153">
        <v>135.5</v>
      </c>
      <c r="E153">
        <v>116.85</v>
      </c>
      <c r="F153">
        <v>102.5</v>
      </c>
      <c r="Q153">
        <v>6.86321099916158E-2</v>
      </c>
      <c r="R153">
        <v>6.0348783112322502E-2</v>
      </c>
      <c r="S153">
        <v>7.8062706058502795E-2</v>
      </c>
      <c r="T153">
        <v>7.5480220331014702E-2</v>
      </c>
      <c r="U153">
        <v>7.4700817282465304E-2</v>
      </c>
    </row>
    <row r="154" spans="1:21" x14ac:dyDescent="0.4">
      <c r="A154" s="1">
        <v>45541</v>
      </c>
      <c r="B154">
        <v>192.05</v>
      </c>
      <c r="C154">
        <v>149.30000000000001</v>
      </c>
      <c r="D154">
        <v>135.35</v>
      </c>
      <c r="E154">
        <v>117.5</v>
      </c>
      <c r="F154">
        <v>103.5</v>
      </c>
      <c r="Q154">
        <v>7.0080443327693198E-2</v>
      </c>
      <c r="R154">
        <v>6.2072204340720902E-2</v>
      </c>
      <c r="S154">
        <v>7.9270597955382396E-2</v>
      </c>
      <c r="T154">
        <v>7.2717424525787305E-2</v>
      </c>
      <c r="U154">
        <v>7.1298853182668098E-2</v>
      </c>
    </row>
    <row r="155" spans="1:21" x14ac:dyDescent="0.4">
      <c r="A155" s="1">
        <v>45544</v>
      </c>
      <c r="B155">
        <v>192.75</v>
      </c>
      <c r="C155">
        <v>150</v>
      </c>
      <c r="D155">
        <v>136.25</v>
      </c>
      <c r="E155">
        <v>118</v>
      </c>
      <c r="F155">
        <v>103.9</v>
      </c>
      <c r="Q155">
        <v>7.0502436776552199E-2</v>
      </c>
      <c r="R155">
        <v>6.1757616961288703E-2</v>
      </c>
      <c r="S155">
        <v>7.8239307222362803E-2</v>
      </c>
      <c r="T155">
        <v>7.2808688073439196E-2</v>
      </c>
      <c r="U155">
        <v>7.1510600632617202E-2</v>
      </c>
    </row>
    <row r="156" spans="1:21" x14ac:dyDescent="0.4">
      <c r="A156" s="1">
        <v>45545</v>
      </c>
      <c r="B156">
        <v>193.2</v>
      </c>
      <c r="C156">
        <v>149.9</v>
      </c>
      <c r="D156">
        <v>136.25</v>
      </c>
      <c r="E156">
        <v>117.6</v>
      </c>
      <c r="F156">
        <v>102.75</v>
      </c>
      <c r="Q156">
        <v>6.9988623785776194E-2</v>
      </c>
      <c r="R156">
        <v>6.3499004958156705E-2</v>
      </c>
      <c r="S156">
        <v>7.8932409863592401E-2</v>
      </c>
      <c r="T156">
        <v>7.6121435480390798E-2</v>
      </c>
      <c r="U156">
        <v>7.6935382256583695E-2</v>
      </c>
    </row>
    <row r="157" spans="1:21" x14ac:dyDescent="0.4">
      <c r="A157" s="1">
        <v>45546</v>
      </c>
      <c r="B157">
        <v>194.95</v>
      </c>
      <c r="C157">
        <v>151.5</v>
      </c>
      <c r="D157">
        <v>137.25</v>
      </c>
      <c r="E157">
        <v>119.5</v>
      </c>
      <c r="F157">
        <v>102</v>
      </c>
      <c r="Q157">
        <v>6.5562969947121102E-2</v>
      </c>
      <c r="R157">
        <v>5.5884939911832902E-2</v>
      </c>
      <c r="S157">
        <v>7.6188044801067001E-2</v>
      </c>
      <c r="T157">
        <v>6.62027827788957E-2</v>
      </c>
      <c r="U157">
        <v>8.0401614858993803E-2</v>
      </c>
    </row>
    <row r="158" spans="1:21" x14ac:dyDescent="0.4">
      <c r="A158" s="1">
        <v>45547</v>
      </c>
      <c r="B158">
        <v>195.35</v>
      </c>
      <c r="C158">
        <v>151.25</v>
      </c>
      <c r="D158">
        <v>137.55000000000001</v>
      </c>
      <c r="E158">
        <v>118</v>
      </c>
      <c r="F158">
        <v>100</v>
      </c>
      <c r="Q158">
        <v>6.5207355329815406E-2</v>
      </c>
      <c r="R158">
        <v>5.8428458097402103E-2</v>
      </c>
      <c r="S158">
        <v>7.5852211025106503E-2</v>
      </c>
      <c r="T158">
        <v>7.58075634624054E-2</v>
      </c>
      <c r="U158">
        <v>8.9339150578880797E-2</v>
      </c>
    </row>
    <row r="159" spans="1:21" x14ac:dyDescent="0.4">
      <c r="A159" s="1">
        <v>45548</v>
      </c>
      <c r="B159">
        <v>196.5</v>
      </c>
      <c r="C159">
        <v>152.25</v>
      </c>
      <c r="D159">
        <v>138.75</v>
      </c>
      <c r="E159">
        <v>121</v>
      </c>
      <c r="F159">
        <v>98.5</v>
      </c>
      <c r="Q159">
        <v>6.2617574978115806E-2</v>
      </c>
      <c r="R159">
        <v>5.4138613228354601E-2</v>
      </c>
      <c r="S159">
        <v>7.2460780743362999E-2</v>
      </c>
      <c r="T159">
        <v>5.9697725852035297E-2</v>
      </c>
      <c r="U159">
        <v>9.6376195932524902E-2</v>
      </c>
    </row>
    <row r="160" spans="1:21" x14ac:dyDescent="0.4">
      <c r="A160" s="1">
        <v>45551</v>
      </c>
      <c r="B160">
        <v>195.25</v>
      </c>
      <c r="C160">
        <v>151.75</v>
      </c>
      <c r="D160">
        <v>137.69999999999999</v>
      </c>
      <c r="E160">
        <v>118.75</v>
      </c>
      <c r="F160">
        <v>102</v>
      </c>
      <c r="Q160">
        <v>6.89042567904532E-2</v>
      </c>
      <c r="R160">
        <v>6.0433041255177802E-2</v>
      </c>
      <c r="S160">
        <v>7.8113849948152805E-2</v>
      </c>
      <c r="T160">
        <v>7.5487920126866295E-2</v>
      </c>
      <c r="U160">
        <v>8.3514273113335105E-2</v>
      </c>
    </row>
    <row r="161" spans="1:21" x14ac:dyDescent="0.4">
      <c r="A161" s="1">
        <v>45552</v>
      </c>
      <c r="B161">
        <v>194</v>
      </c>
      <c r="C161">
        <v>151.5</v>
      </c>
      <c r="D161">
        <v>136.5</v>
      </c>
      <c r="E161">
        <v>117.05</v>
      </c>
      <c r="F161">
        <v>102</v>
      </c>
      <c r="Q161">
        <v>7.3568095893108199E-2</v>
      </c>
      <c r="R161">
        <v>6.3023583314021803E-2</v>
      </c>
      <c r="S161">
        <v>8.2971268719636407E-2</v>
      </c>
      <c r="T161">
        <v>8.6527975705470495E-2</v>
      </c>
      <c r="U161">
        <v>8.4141945528502002E-2</v>
      </c>
    </row>
    <row r="162" spans="1:21" x14ac:dyDescent="0.4">
      <c r="A162" s="1">
        <v>45553</v>
      </c>
      <c r="B162">
        <v>192.25</v>
      </c>
      <c r="C162">
        <v>151.1</v>
      </c>
      <c r="D162">
        <v>135.75</v>
      </c>
      <c r="E162">
        <v>117.5</v>
      </c>
      <c r="F162">
        <v>102.5</v>
      </c>
      <c r="Q162">
        <v>7.9843790805822906E-2</v>
      </c>
      <c r="R162">
        <v>6.6474796861451205E-2</v>
      </c>
      <c r="S162">
        <v>8.6310904173272196E-2</v>
      </c>
      <c r="T162">
        <v>8.4890818934118498E-2</v>
      </c>
      <c r="U162">
        <v>8.2706587821386499E-2</v>
      </c>
    </row>
    <row r="163" spans="1:21" x14ac:dyDescent="0.4">
      <c r="A163" s="1">
        <v>45554</v>
      </c>
      <c r="B163">
        <v>193.4</v>
      </c>
      <c r="C163">
        <v>150.25</v>
      </c>
      <c r="D163">
        <v>134.75</v>
      </c>
      <c r="E163">
        <v>117.5</v>
      </c>
      <c r="F163">
        <v>102</v>
      </c>
      <c r="Q163">
        <v>7.7160367707674204E-2</v>
      </c>
      <c r="R163">
        <v>7.2509984689218002E-2</v>
      </c>
      <c r="S163">
        <v>9.0574039597936196E-2</v>
      </c>
      <c r="T163">
        <v>8.5935217358642499E-2</v>
      </c>
      <c r="U163">
        <v>8.5402387064649907E-2</v>
      </c>
    </row>
    <row r="164" spans="1:21" x14ac:dyDescent="0.4">
      <c r="A164" s="1">
        <v>45555</v>
      </c>
      <c r="B164">
        <v>193.5</v>
      </c>
      <c r="C164">
        <v>151</v>
      </c>
      <c r="D164">
        <v>136.5</v>
      </c>
      <c r="E164">
        <v>119</v>
      </c>
      <c r="F164">
        <v>103.5</v>
      </c>
      <c r="Q164">
        <v>7.7731886528274605E-2</v>
      </c>
      <c r="R164">
        <v>6.9501095806019805E-2</v>
      </c>
      <c r="S164">
        <v>8.51041520185635E-2</v>
      </c>
      <c r="T164">
        <v>7.8109093146957007E-2</v>
      </c>
      <c r="U164">
        <v>7.9862272921567098E-2</v>
      </c>
    </row>
    <row r="165" spans="1:21" x14ac:dyDescent="0.4">
      <c r="A165" s="1">
        <v>45558</v>
      </c>
      <c r="B165">
        <v>192.7</v>
      </c>
      <c r="C165">
        <v>151.9</v>
      </c>
      <c r="D165">
        <v>135.5</v>
      </c>
      <c r="E165">
        <v>118.2</v>
      </c>
      <c r="F165">
        <v>103</v>
      </c>
      <c r="Q165">
        <v>8.2894656106935305E-2</v>
      </c>
      <c r="R165">
        <v>6.8137992201438805E-2</v>
      </c>
      <c r="S165">
        <v>9.0802844275038902E-2</v>
      </c>
      <c r="T165">
        <v>8.5961362337331204E-2</v>
      </c>
      <c r="U165">
        <v>8.3794336952363505E-2</v>
      </c>
    </row>
    <row r="166" spans="1:21" x14ac:dyDescent="0.4">
      <c r="A166" s="1">
        <v>45559</v>
      </c>
      <c r="B166">
        <v>192.25</v>
      </c>
      <c r="C166">
        <v>151.5</v>
      </c>
      <c r="D166">
        <v>135.25</v>
      </c>
      <c r="E166">
        <v>118.1</v>
      </c>
      <c r="F166">
        <v>106.5</v>
      </c>
      <c r="Q166">
        <v>8.5212192962788397E-2</v>
      </c>
      <c r="R166">
        <v>7.1657942562790095E-2</v>
      </c>
      <c r="S166">
        <v>9.2425746677022302E-2</v>
      </c>
      <c r="T166">
        <v>8.7617348284683802E-2</v>
      </c>
      <c r="U166">
        <v>7.0309279325162594E-2</v>
      </c>
    </row>
    <row r="167" spans="1:21" x14ac:dyDescent="0.4">
      <c r="A167" s="1">
        <v>45560</v>
      </c>
      <c r="B167">
        <v>192.75</v>
      </c>
      <c r="C167">
        <v>151</v>
      </c>
      <c r="D167">
        <v>135.25</v>
      </c>
      <c r="E167">
        <v>119</v>
      </c>
      <c r="F167">
        <v>103.8</v>
      </c>
      <c r="Q167">
        <v>8.4540934017486094E-2</v>
      </c>
      <c r="R167">
        <v>7.5786059875121103E-2</v>
      </c>
      <c r="S167">
        <v>9.3158549800686705E-2</v>
      </c>
      <c r="T167">
        <v>8.3303810061617994E-2</v>
      </c>
      <c r="U167">
        <v>8.1771089387792206E-2</v>
      </c>
    </row>
    <row r="168" spans="1:21" x14ac:dyDescent="0.4">
      <c r="A168" s="1">
        <v>45561</v>
      </c>
      <c r="B168">
        <v>193.9</v>
      </c>
      <c r="C168">
        <v>151</v>
      </c>
      <c r="D168">
        <v>135.15</v>
      </c>
      <c r="E168">
        <v>118</v>
      </c>
      <c r="F168">
        <v>103.8</v>
      </c>
      <c r="Q168">
        <v>8.1897686714389101E-2</v>
      </c>
      <c r="R168">
        <v>7.7157116959521099E-2</v>
      </c>
      <c r="S168">
        <v>9.4305037051482701E-2</v>
      </c>
      <c r="T168">
        <v>9.0428051905044798E-2</v>
      </c>
      <c r="U168">
        <v>8.2447202085854598E-2</v>
      </c>
    </row>
    <row r="169" spans="1:21" x14ac:dyDescent="0.4">
      <c r="A169" s="1">
        <v>45562</v>
      </c>
      <c r="B169">
        <v>193.95</v>
      </c>
      <c r="C169">
        <v>151.4</v>
      </c>
      <c r="D169">
        <v>135.44999999999999</v>
      </c>
      <c r="E169">
        <v>118.4</v>
      </c>
      <c r="F169">
        <v>103.5</v>
      </c>
      <c r="Q169">
        <v>8.2707424850038902E-2</v>
      </c>
      <c r="R169">
        <v>7.62250000855028E-2</v>
      </c>
      <c r="S169">
        <v>9.4015020983144099E-2</v>
      </c>
      <c r="T169">
        <v>8.9163829274717998E-2</v>
      </c>
      <c r="U169">
        <v>8.4359281882829498E-2</v>
      </c>
    </row>
    <row r="170" spans="1:21" x14ac:dyDescent="0.4">
      <c r="A170" s="1">
        <v>45565</v>
      </c>
      <c r="B170">
        <v>193.5</v>
      </c>
      <c r="C170">
        <v>151.5</v>
      </c>
      <c r="D170">
        <v>135.80000000000001</v>
      </c>
      <c r="E170">
        <v>118.3</v>
      </c>
      <c r="F170">
        <v>100.5</v>
      </c>
      <c r="Q170">
        <v>8.7053413829458998E-2</v>
      </c>
      <c r="R170">
        <v>7.9803347529233695E-2</v>
      </c>
      <c r="S170">
        <v>9.5130922566054404E-2</v>
      </c>
      <c r="T170">
        <v>9.3236551571196202E-2</v>
      </c>
      <c r="U170">
        <v>9.9098766417592896E-2</v>
      </c>
    </row>
    <row r="171" spans="1:21" x14ac:dyDescent="0.4">
      <c r="A171" s="1">
        <v>45566</v>
      </c>
      <c r="B171">
        <v>194</v>
      </c>
      <c r="C171">
        <v>152.35</v>
      </c>
      <c r="D171">
        <v>136.65</v>
      </c>
      <c r="E171">
        <v>119</v>
      </c>
      <c r="F171">
        <v>99.77</v>
      </c>
      <c r="Q171">
        <v>8.6453109793764804E-2</v>
      </c>
      <c r="R171">
        <v>7.6266210808514603E-2</v>
      </c>
      <c r="S171">
        <v>9.2872627761757295E-2</v>
      </c>
      <c r="T171">
        <v>9.0155285249032102E-2</v>
      </c>
      <c r="U171">
        <v>0.102981594719223</v>
      </c>
    </row>
    <row r="172" spans="1:21" x14ac:dyDescent="0.4">
      <c r="A172" s="1">
        <v>45567</v>
      </c>
      <c r="B172">
        <v>195.35</v>
      </c>
      <c r="C172">
        <v>153.5</v>
      </c>
      <c r="D172">
        <v>137.85</v>
      </c>
      <c r="E172">
        <v>120</v>
      </c>
      <c r="F172">
        <v>102.5</v>
      </c>
      <c r="Q172">
        <v>8.3178462400465503E-2</v>
      </c>
      <c r="R172">
        <v>7.1032465699438302E-2</v>
      </c>
      <c r="S172">
        <v>8.9391545498692895E-2</v>
      </c>
      <c r="T172">
        <v>8.5300367163109306E-2</v>
      </c>
      <c r="U172">
        <v>9.1974871244914602E-2</v>
      </c>
    </row>
    <row r="173" spans="1:21" x14ac:dyDescent="0.4">
      <c r="A173" s="1">
        <v>45568</v>
      </c>
      <c r="B173">
        <v>196.4</v>
      </c>
      <c r="C173">
        <v>153.75</v>
      </c>
      <c r="D173">
        <v>137.75</v>
      </c>
      <c r="E173">
        <v>119.9</v>
      </c>
      <c r="F173">
        <v>105</v>
      </c>
      <c r="Q173">
        <v>8.0867453464342695E-2</v>
      </c>
      <c r="R173">
        <v>7.0974856707120906E-2</v>
      </c>
      <c r="S173">
        <v>9.0532444850869503E-2</v>
      </c>
      <c r="T173">
        <v>8.7048710715996097E-2</v>
      </c>
      <c r="U173">
        <v>8.2295400359189794E-2</v>
      </c>
    </row>
    <row r="174" spans="1:21" x14ac:dyDescent="0.4">
      <c r="A174" s="1">
        <v>45569</v>
      </c>
      <c r="B174">
        <v>196.7</v>
      </c>
      <c r="C174">
        <v>153.75</v>
      </c>
      <c r="D174">
        <v>137.65</v>
      </c>
      <c r="E174">
        <v>120.15</v>
      </c>
      <c r="F174">
        <v>104.5</v>
      </c>
      <c r="Q174">
        <v>8.0904900217182399E-2</v>
      </c>
      <c r="R174">
        <v>7.2353670591203498E-2</v>
      </c>
      <c r="S174">
        <v>9.16776741684137E-2</v>
      </c>
      <c r="T174">
        <v>8.6703035488333802E-2</v>
      </c>
      <c r="U174">
        <v>8.5029789708740103E-2</v>
      </c>
    </row>
    <row r="175" spans="1:21" x14ac:dyDescent="0.4">
      <c r="A175" s="1">
        <v>45572</v>
      </c>
      <c r="B175">
        <v>197.4</v>
      </c>
      <c r="C175">
        <v>154.44999999999999</v>
      </c>
      <c r="D175">
        <v>138.1</v>
      </c>
      <c r="E175">
        <v>121.2</v>
      </c>
      <c r="F175">
        <v>104</v>
      </c>
      <c r="Q175">
        <v>8.3845912564007696E-2</v>
      </c>
      <c r="R175">
        <v>7.6539341966179605E-2</v>
      </c>
      <c r="S175">
        <v>9.2455811503245194E-2</v>
      </c>
      <c r="T175">
        <v>8.3885679274820102E-2</v>
      </c>
      <c r="U175">
        <v>8.9177105182061803E-2</v>
      </c>
    </row>
    <row r="176" spans="1:21" x14ac:dyDescent="0.4">
      <c r="A176" s="1">
        <v>45573</v>
      </c>
      <c r="B176">
        <v>197</v>
      </c>
      <c r="C176">
        <v>154.1</v>
      </c>
      <c r="D176">
        <v>137.80000000000001</v>
      </c>
      <c r="E176">
        <v>119.9</v>
      </c>
      <c r="F176">
        <v>102</v>
      </c>
      <c r="Q176">
        <v>8.3889864266560199E-2</v>
      </c>
      <c r="R176">
        <v>7.5915088468306496E-2</v>
      </c>
      <c r="S176">
        <v>9.4326075874712006E-2</v>
      </c>
      <c r="T176">
        <v>9.2884430111804195E-2</v>
      </c>
      <c r="U176">
        <v>9.8335574195464598E-2</v>
      </c>
    </row>
    <row r="177" spans="1:22" x14ac:dyDescent="0.4">
      <c r="A177" s="1">
        <v>45574</v>
      </c>
      <c r="B177">
        <v>196.85</v>
      </c>
      <c r="C177">
        <v>154.5</v>
      </c>
      <c r="D177">
        <v>138.15</v>
      </c>
      <c r="E177">
        <v>119.75</v>
      </c>
      <c r="F177">
        <v>104</v>
      </c>
      <c r="Q177">
        <v>8.5353045780279094E-2</v>
      </c>
      <c r="R177">
        <v>7.5003160437186897E-2</v>
      </c>
      <c r="S177">
        <v>9.3874013260015501E-2</v>
      </c>
      <c r="T177">
        <v>9.4985358348281507E-2</v>
      </c>
      <c r="U177">
        <v>9.0575093630944098E-2</v>
      </c>
    </row>
    <row r="178" spans="1:22" x14ac:dyDescent="0.4">
      <c r="A178" s="1">
        <v>45575</v>
      </c>
      <c r="B178">
        <v>196.85</v>
      </c>
      <c r="C178">
        <v>154.80000000000001</v>
      </c>
      <c r="D178">
        <v>138</v>
      </c>
      <c r="E178">
        <v>120.5</v>
      </c>
      <c r="F178">
        <v>106</v>
      </c>
      <c r="Q178">
        <v>8.63483059363538E-2</v>
      </c>
      <c r="R178">
        <v>7.4673162937677298E-2</v>
      </c>
      <c r="S178">
        <v>9.5214030899317403E-2</v>
      </c>
      <c r="T178">
        <v>9.1599161781621793E-2</v>
      </c>
      <c r="U178">
        <v>8.3012217242851905E-2</v>
      </c>
    </row>
    <row r="179" spans="1:22" x14ac:dyDescent="0.4">
      <c r="A179" s="1">
        <v>45579</v>
      </c>
      <c r="B179">
        <v>196.75</v>
      </c>
      <c r="C179">
        <v>154.69999999999999</v>
      </c>
      <c r="D179">
        <v>138</v>
      </c>
      <c r="E179">
        <v>119.85</v>
      </c>
      <c r="F179">
        <v>106</v>
      </c>
      <c r="Q179">
        <v>9.0690152220124595E-2</v>
      </c>
      <c r="R179">
        <v>8.0972165870325699E-2</v>
      </c>
      <c r="S179">
        <v>9.8452701654983696E-2</v>
      </c>
      <c r="T179">
        <v>0.1003845643669521</v>
      </c>
      <c r="U179">
        <v>8.5782092845990504E-2</v>
      </c>
    </row>
    <row r="180" spans="1:22" x14ac:dyDescent="0.4">
      <c r="A180" s="1">
        <v>45580</v>
      </c>
      <c r="B180">
        <v>196.8</v>
      </c>
      <c r="C180">
        <v>154.1</v>
      </c>
      <c r="D180">
        <v>138</v>
      </c>
      <c r="E180">
        <v>120.1</v>
      </c>
      <c r="F180">
        <v>105</v>
      </c>
      <c r="G180">
        <v>104</v>
      </c>
      <c r="Q180">
        <v>9.1546615365390896E-2</v>
      </c>
      <c r="R180">
        <v>8.5983900777312397E-2</v>
      </c>
      <c r="S180">
        <v>9.9268977348941606E-2</v>
      </c>
      <c r="T180">
        <v>0.1000519873594357</v>
      </c>
      <c r="U180">
        <v>9.0620554031276904E-2</v>
      </c>
      <c r="V180">
        <v>0.52124845502781036</v>
      </c>
    </row>
    <row r="181" spans="1:22" x14ac:dyDescent="0.4">
      <c r="A181" s="1">
        <v>45581</v>
      </c>
      <c r="B181">
        <v>196.25</v>
      </c>
      <c r="C181">
        <v>153.5</v>
      </c>
      <c r="D181">
        <v>137.5</v>
      </c>
      <c r="E181">
        <v>119.95</v>
      </c>
      <c r="F181">
        <v>104</v>
      </c>
      <c r="G181">
        <v>104.4</v>
      </c>
      <c r="Q181">
        <v>9.4338348596697999E-2</v>
      </c>
      <c r="R181">
        <v>9.1056653532037901E-2</v>
      </c>
      <c r="S181">
        <v>0.1019090702904371</v>
      </c>
      <c r="T181">
        <v>0.1022064564795967</v>
      </c>
      <c r="U181">
        <v>9.5531385033392799E-2</v>
      </c>
      <c r="V181">
        <v>0.51780742962273973</v>
      </c>
    </row>
    <row r="182" spans="1:22" x14ac:dyDescent="0.4">
      <c r="A182" s="1">
        <v>45582</v>
      </c>
      <c r="B182">
        <v>196.95</v>
      </c>
      <c r="C182">
        <v>153.25</v>
      </c>
      <c r="D182">
        <v>136.5</v>
      </c>
      <c r="E182">
        <v>119.25</v>
      </c>
      <c r="F182">
        <v>102</v>
      </c>
      <c r="G182">
        <v>105.5</v>
      </c>
      <c r="Q182">
        <v>9.3109244057638901E-2</v>
      </c>
      <c r="R182">
        <v>9.4065622868292301E-2</v>
      </c>
      <c r="S182">
        <v>0.1064132687219584</v>
      </c>
      <c r="T182">
        <v>0.107831863553708</v>
      </c>
      <c r="U182">
        <v>0.10484361769443561</v>
      </c>
      <c r="V182">
        <v>0.50568837018764445</v>
      </c>
    </row>
    <row r="183" spans="1:22" x14ac:dyDescent="0.4">
      <c r="A183" s="1">
        <v>45583</v>
      </c>
      <c r="B183">
        <v>195.7</v>
      </c>
      <c r="C183">
        <v>153.55000000000001</v>
      </c>
      <c r="D183">
        <v>136.80000000000001</v>
      </c>
      <c r="E183">
        <v>119.5</v>
      </c>
      <c r="F183">
        <v>101</v>
      </c>
      <c r="G183">
        <v>107</v>
      </c>
      <c r="Q183">
        <v>9.8189479935886906E-2</v>
      </c>
      <c r="R183">
        <v>9.3753970061416197E-2</v>
      </c>
      <c r="S183">
        <v>0.1061386824048062</v>
      </c>
      <c r="T183">
        <v>0.1075012538161052</v>
      </c>
      <c r="U183">
        <v>0.1099720711003554</v>
      </c>
      <c r="V183">
        <v>0.48914548976594319</v>
      </c>
    </row>
    <row r="184" spans="1:22" x14ac:dyDescent="0.4">
      <c r="A184" s="1">
        <v>45586</v>
      </c>
      <c r="B184">
        <v>195.5</v>
      </c>
      <c r="C184">
        <v>153</v>
      </c>
      <c r="D184">
        <v>136.75</v>
      </c>
      <c r="E184">
        <v>119</v>
      </c>
      <c r="F184">
        <v>101.5</v>
      </c>
      <c r="G184">
        <v>107.9</v>
      </c>
      <c r="Q184">
        <v>0.10198760493717431</v>
      </c>
      <c r="R184">
        <v>0.1017040839800879</v>
      </c>
      <c r="S184">
        <v>0.1088409215673664</v>
      </c>
      <c r="T184">
        <v>0.1144647326954496</v>
      </c>
      <c r="U184">
        <v>0.1099924641015709</v>
      </c>
      <c r="V184">
        <v>0.48270378223119259</v>
      </c>
    </row>
    <row r="185" spans="1:22" x14ac:dyDescent="0.4">
      <c r="A185" s="1">
        <v>45587</v>
      </c>
      <c r="B185">
        <v>194.65</v>
      </c>
      <c r="C185">
        <v>153.1</v>
      </c>
      <c r="D185">
        <v>136.80000000000001</v>
      </c>
      <c r="E185">
        <v>119</v>
      </c>
      <c r="F185">
        <v>99.12</v>
      </c>
      <c r="G185">
        <v>107.15</v>
      </c>
      <c r="Q185">
        <v>0.1058575448796145</v>
      </c>
      <c r="R185">
        <v>0.10263886071995949</v>
      </c>
      <c r="S185">
        <v>0.1094993991363765</v>
      </c>
      <c r="T185">
        <v>0.1157435909468665</v>
      </c>
      <c r="U185">
        <v>0.1214504439159214</v>
      </c>
      <c r="V185">
        <v>0.49301906436398463</v>
      </c>
    </row>
    <row r="186" spans="1:22" x14ac:dyDescent="0.4">
      <c r="A186" s="1">
        <v>45588</v>
      </c>
      <c r="B186">
        <v>194.1</v>
      </c>
      <c r="C186">
        <v>153.05000000000001</v>
      </c>
      <c r="D186">
        <v>136.19999999999999</v>
      </c>
      <c r="E186">
        <v>119</v>
      </c>
      <c r="F186">
        <v>102.4</v>
      </c>
      <c r="G186">
        <v>106.95</v>
      </c>
      <c r="Q186">
        <v>0.10876161197646</v>
      </c>
      <c r="R186">
        <v>0.10451056752932909</v>
      </c>
      <c r="S186">
        <v>0.11259270008280341</v>
      </c>
      <c r="T186">
        <v>0.1170286497924411</v>
      </c>
      <c r="U186">
        <v>0.1075205606131521</v>
      </c>
      <c r="V186">
        <v>0.49685791905778531</v>
      </c>
    </row>
    <row r="187" spans="1:22" x14ac:dyDescent="0.4">
      <c r="A187" s="1">
        <v>45589</v>
      </c>
      <c r="B187">
        <v>193.95</v>
      </c>
      <c r="C187">
        <v>153</v>
      </c>
      <c r="D187">
        <v>135.65</v>
      </c>
      <c r="E187">
        <v>118.45</v>
      </c>
      <c r="F187">
        <v>100</v>
      </c>
      <c r="G187">
        <v>108.6</v>
      </c>
      <c r="Q187">
        <v>0.1103433276271566</v>
      </c>
      <c r="R187">
        <v>0.10639475627257131</v>
      </c>
      <c r="S187">
        <v>0.1155233068535218</v>
      </c>
      <c r="T187">
        <v>0.1218920237563101</v>
      </c>
      <c r="U187">
        <v>0.11897109440294019</v>
      </c>
      <c r="V187">
        <v>0.47863336374768273</v>
      </c>
    </row>
    <row r="188" spans="1:22" x14ac:dyDescent="0.4">
      <c r="A188" s="1">
        <v>45590</v>
      </c>
      <c r="B188">
        <v>194.85</v>
      </c>
      <c r="C188">
        <v>153.6</v>
      </c>
      <c r="D188">
        <v>136.4</v>
      </c>
      <c r="E188">
        <v>119.1</v>
      </c>
      <c r="F188">
        <v>101.5</v>
      </c>
      <c r="G188">
        <v>109.55</v>
      </c>
      <c r="Q188">
        <v>0.1084100182376464</v>
      </c>
      <c r="R188">
        <v>0.1042315017352219</v>
      </c>
      <c r="S188">
        <v>0.1135512686373439</v>
      </c>
      <c r="T188">
        <v>0.11896994534503889</v>
      </c>
      <c r="U188">
        <v>0.1129901506558831</v>
      </c>
      <c r="V188">
        <v>0.46891090010435987</v>
      </c>
    </row>
    <row r="189" spans="1:22" x14ac:dyDescent="0.4">
      <c r="A189" s="1">
        <v>45593</v>
      </c>
      <c r="B189">
        <v>197.35</v>
      </c>
      <c r="C189">
        <v>156.30000000000001</v>
      </c>
      <c r="D189">
        <v>139.9</v>
      </c>
      <c r="E189">
        <v>120.4</v>
      </c>
      <c r="F189">
        <v>102</v>
      </c>
      <c r="G189">
        <v>112.8</v>
      </c>
      <c r="Q189">
        <v>0.1028234139259432</v>
      </c>
      <c r="R189">
        <v>9.1532319235451604E-2</v>
      </c>
      <c r="S189">
        <v>0.102726542819372</v>
      </c>
      <c r="T189">
        <v>0.1138665437140457</v>
      </c>
      <c r="U189">
        <v>0.11267617666336729</v>
      </c>
      <c r="V189">
        <v>0.43595602006518092</v>
      </c>
    </row>
    <row r="190" spans="1:22" x14ac:dyDescent="0.4">
      <c r="A190" s="1">
        <v>45594</v>
      </c>
      <c r="B190">
        <v>200.5</v>
      </c>
      <c r="C190">
        <v>156.6</v>
      </c>
      <c r="D190">
        <v>141.25</v>
      </c>
      <c r="E190">
        <v>122</v>
      </c>
      <c r="F190">
        <v>104</v>
      </c>
      <c r="G190">
        <v>114.8</v>
      </c>
      <c r="Q190">
        <v>9.3440835099872305E-2</v>
      </c>
      <c r="R190">
        <v>9.0993966762315207E-2</v>
      </c>
      <c r="S190">
        <v>9.8533688621245202E-2</v>
      </c>
      <c r="T190">
        <v>0.1047752501501258</v>
      </c>
      <c r="U190">
        <v>0.104535229979665</v>
      </c>
      <c r="V190">
        <v>0.4153150422376598</v>
      </c>
    </row>
    <row r="191" spans="1:22" x14ac:dyDescent="0.4">
      <c r="A191" s="1">
        <v>45595</v>
      </c>
      <c r="B191">
        <v>201.9</v>
      </c>
      <c r="C191">
        <v>157.55000000000001</v>
      </c>
      <c r="D191">
        <v>142.75</v>
      </c>
      <c r="E191">
        <v>122.9</v>
      </c>
      <c r="F191">
        <v>105</v>
      </c>
      <c r="G191">
        <v>113.65</v>
      </c>
      <c r="Q191">
        <v>8.9821061525590204E-2</v>
      </c>
      <c r="R191">
        <v>8.6515353674223403E-2</v>
      </c>
      <c r="S191">
        <v>9.3858879887682198E-2</v>
      </c>
      <c r="T191">
        <v>0.10019730427147509</v>
      </c>
      <c r="U191">
        <v>0.1008520676334255</v>
      </c>
      <c r="V191">
        <v>0.42905861745270252</v>
      </c>
    </row>
    <row r="192" spans="1:22" x14ac:dyDescent="0.4">
      <c r="A192" s="1">
        <v>45596</v>
      </c>
      <c r="B192">
        <v>202</v>
      </c>
      <c r="C192">
        <v>157</v>
      </c>
      <c r="D192">
        <v>142.5</v>
      </c>
      <c r="E192">
        <v>122.75</v>
      </c>
      <c r="F192">
        <v>107</v>
      </c>
      <c r="G192">
        <v>114.25</v>
      </c>
      <c r="Q192">
        <v>9.0372834415690398E-2</v>
      </c>
      <c r="R192">
        <v>9.1139972474360106E-2</v>
      </c>
      <c r="S192">
        <v>9.5441150418651394E-2</v>
      </c>
      <c r="T192">
        <v>0.1021919007027499</v>
      </c>
      <c r="U192">
        <v>9.3011619346127394E-2</v>
      </c>
      <c r="V192">
        <v>0.42370601383420942</v>
      </c>
    </row>
    <row r="193" spans="1:23" x14ac:dyDescent="0.4">
      <c r="A193" s="1">
        <v>45597</v>
      </c>
      <c r="B193">
        <v>205.9</v>
      </c>
      <c r="C193">
        <v>160.5</v>
      </c>
      <c r="D193">
        <v>145.55000000000001</v>
      </c>
      <c r="E193">
        <v>125</v>
      </c>
      <c r="F193">
        <v>109</v>
      </c>
      <c r="G193">
        <v>116.2</v>
      </c>
      <c r="H193">
        <v>82.65</v>
      </c>
      <c r="Q193">
        <v>7.89210861307994E-2</v>
      </c>
      <c r="R193">
        <v>7.1443010606193597E-2</v>
      </c>
      <c r="S193">
        <v>8.5391770348583904E-2</v>
      </c>
      <c r="T193">
        <v>8.93360108616503E-2</v>
      </c>
      <c r="U193">
        <v>8.5364531813657898E-2</v>
      </c>
      <c r="V193">
        <v>0.40386731773234891</v>
      </c>
      <c r="W193">
        <v>0.1205957253381529</v>
      </c>
    </row>
    <row r="194" spans="1:23" x14ac:dyDescent="0.4">
      <c r="A194" s="1">
        <v>45600</v>
      </c>
      <c r="B194">
        <v>206</v>
      </c>
      <c r="C194">
        <v>161</v>
      </c>
      <c r="D194">
        <v>145.75</v>
      </c>
      <c r="E194">
        <v>125.25</v>
      </c>
      <c r="F194">
        <v>110</v>
      </c>
      <c r="G194">
        <v>116.95</v>
      </c>
      <c r="H194">
        <v>82.9</v>
      </c>
      <c r="Q194">
        <v>8.1162709313521694E-2</v>
      </c>
      <c r="R194">
        <v>7.2197262774549603E-2</v>
      </c>
      <c r="S194">
        <v>8.6729874726080403E-2</v>
      </c>
      <c r="T194">
        <v>9.0902767631863599E-2</v>
      </c>
      <c r="U194">
        <v>8.3085426892693506E-2</v>
      </c>
      <c r="V194">
        <v>0.39938480711344199</v>
      </c>
      <c r="W194">
        <v>0.1214373904803733</v>
      </c>
    </row>
    <row r="195" spans="1:23" x14ac:dyDescent="0.4">
      <c r="A195" s="1">
        <v>45601</v>
      </c>
      <c r="B195">
        <v>205.9</v>
      </c>
      <c r="C195">
        <v>161.30000000000001</v>
      </c>
      <c r="D195">
        <v>145</v>
      </c>
      <c r="E195">
        <v>125.15</v>
      </c>
      <c r="F195">
        <v>110</v>
      </c>
      <c r="G195">
        <v>116.6</v>
      </c>
      <c r="H195">
        <v>82.5</v>
      </c>
      <c r="Q195">
        <v>8.2334928341326302E-2</v>
      </c>
      <c r="R195">
        <v>7.16653661059799E-2</v>
      </c>
      <c r="S195">
        <v>9.0037361764698301E-2</v>
      </c>
      <c r="T195">
        <v>9.2556505006509096E-2</v>
      </c>
      <c r="U195">
        <v>8.3678225203505804E-2</v>
      </c>
      <c r="V195">
        <v>0.40428267630127712</v>
      </c>
      <c r="W195">
        <v>0.12564667150009121</v>
      </c>
    </row>
    <row r="196" spans="1:23" x14ac:dyDescent="0.4">
      <c r="A196" s="1">
        <v>45602</v>
      </c>
      <c r="B196">
        <v>206.85</v>
      </c>
      <c r="C196">
        <v>161.5</v>
      </c>
      <c r="D196">
        <v>146</v>
      </c>
      <c r="E196">
        <v>126</v>
      </c>
      <c r="F196">
        <v>110</v>
      </c>
      <c r="G196">
        <v>117.85</v>
      </c>
      <c r="H196">
        <v>82.95</v>
      </c>
      <c r="Q196">
        <v>8.0214574162003699E-2</v>
      </c>
      <c r="R196">
        <v>7.1725396211046996E-2</v>
      </c>
      <c r="S196">
        <v>8.72223392499899E-2</v>
      </c>
      <c r="T196">
        <v>8.8389690222910405E-2</v>
      </c>
      <c r="U196">
        <v>8.4272706559279806E-2</v>
      </c>
      <c r="V196">
        <v>0.39217188409867709</v>
      </c>
      <c r="W196">
        <v>0.1229520394111181</v>
      </c>
    </row>
    <row r="197" spans="1:23" x14ac:dyDescent="0.4">
      <c r="A197" s="1">
        <v>45603</v>
      </c>
      <c r="B197">
        <v>207</v>
      </c>
      <c r="C197">
        <v>161.25</v>
      </c>
      <c r="D197">
        <v>146.69999999999999</v>
      </c>
      <c r="E197">
        <v>126.15</v>
      </c>
      <c r="F197">
        <v>111.5</v>
      </c>
      <c r="G197">
        <v>118.35</v>
      </c>
      <c r="H197">
        <v>83.85</v>
      </c>
      <c r="Q197">
        <v>8.0602998535105996E-2</v>
      </c>
      <c r="R197">
        <v>7.4458694071323994E-2</v>
      </c>
      <c r="S197">
        <v>8.5470093444381501E-2</v>
      </c>
      <c r="T197">
        <v>8.8509220422458498E-2</v>
      </c>
      <c r="U197">
        <v>7.8833400250562402E-2</v>
      </c>
      <c r="V197">
        <v>0.38805580714947507</v>
      </c>
      <c r="W197">
        <v>0.1166634866842729</v>
      </c>
    </row>
    <row r="198" spans="1:23" x14ac:dyDescent="0.4">
      <c r="A198" s="1">
        <v>45604</v>
      </c>
      <c r="B198">
        <v>208.75</v>
      </c>
      <c r="C198">
        <v>162.30000000000001</v>
      </c>
      <c r="D198">
        <v>148</v>
      </c>
      <c r="E198">
        <v>127</v>
      </c>
      <c r="F198">
        <v>114</v>
      </c>
      <c r="G198">
        <v>119.75</v>
      </c>
      <c r="H198">
        <v>84.95</v>
      </c>
      <c r="Q198">
        <v>7.6005988192215601E-2</v>
      </c>
      <c r="R198">
        <v>6.9779962509294399E-2</v>
      </c>
      <c r="S198">
        <v>8.1663340142511198E-2</v>
      </c>
      <c r="T198">
        <v>8.43747066000054E-2</v>
      </c>
      <c r="U198">
        <v>6.9595957482338794E-2</v>
      </c>
      <c r="V198">
        <v>0.37721041749877587</v>
      </c>
      <c r="W198">
        <v>0.1088942240832538</v>
      </c>
    </row>
    <row r="199" spans="1:23" x14ac:dyDescent="0.4">
      <c r="A199" s="1">
        <v>45607</v>
      </c>
      <c r="B199">
        <v>212</v>
      </c>
      <c r="C199">
        <v>165</v>
      </c>
      <c r="D199">
        <v>150</v>
      </c>
      <c r="E199">
        <v>128.5</v>
      </c>
      <c r="F199">
        <v>112.5</v>
      </c>
      <c r="G199">
        <v>120.35</v>
      </c>
      <c r="H199">
        <v>85.6</v>
      </c>
      <c r="Q199">
        <v>6.8551581190870403E-2</v>
      </c>
      <c r="R199">
        <v>5.7385682414012401E-2</v>
      </c>
      <c r="S199">
        <v>7.6862726129818301E-2</v>
      </c>
      <c r="T199">
        <v>7.8409781429435804E-2</v>
      </c>
      <c r="U199">
        <v>7.7206708040114397E-2</v>
      </c>
      <c r="V199">
        <v>0.3717283059085808</v>
      </c>
      <c r="W199">
        <v>0.1065978567339055</v>
      </c>
    </row>
    <row r="200" spans="1:23" x14ac:dyDescent="0.4">
      <c r="A200" s="1">
        <v>45608</v>
      </c>
      <c r="B200">
        <v>212.25</v>
      </c>
      <c r="C200">
        <v>165.5</v>
      </c>
      <c r="D200">
        <v>151.1</v>
      </c>
      <c r="E200">
        <v>128.75</v>
      </c>
      <c r="F200">
        <v>112.5</v>
      </c>
      <c r="G200">
        <v>123.5</v>
      </c>
      <c r="H200">
        <v>86.5</v>
      </c>
      <c r="Q200">
        <v>6.8626185392091199E-2</v>
      </c>
      <c r="R200">
        <v>5.5702789404317297E-2</v>
      </c>
      <c r="S200">
        <v>7.3823016124168694E-2</v>
      </c>
      <c r="T200">
        <v>7.7929083171745295E-2</v>
      </c>
      <c r="U200">
        <v>7.7794293877578996E-2</v>
      </c>
      <c r="V200">
        <v>0.34110712833500528</v>
      </c>
      <c r="W200">
        <v>0.1005431049276671</v>
      </c>
    </row>
    <row r="201" spans="1:23" x14ac:dyDescent="0.4">
      <c r="A201" s="1">
        <v>45609</v>
      </c>
      <c r="B201">
        <v>216.65</v>
      </c>
      <c r="C201">
        <v>168.5</v>
      </c>
      <c r="D201">
        <v>154.30000000000001</v>
      </c>
      <c r="E201">
        <v>131.1</v>
      </c>
      <c r="F201">
        <v>112.5</v>
      </c>
      <c r="G201">
        <v>125.95</v>
      </c>
      <c r="H201">
        <v>90</v>
      </c>
      <c r="Q201">
        <v>5.6247844209200898E-2</v>
      </c>
      <c r="R201">
        <v>3.9832133925210102E-2</v>
      </c>
      <c r="S201">
        <v>6.39007077068727E-2</v>
      </c>
      <c r="T201">
        <v>6.5068966158065095E-2</v>
      </c>
      <c r="U201">
        <v>7.8383553449970098E-2</v>
      </c>
      <c r="V201">
        <v>0.31840373262614469</v>
      </c>
      <c r="W201">
        <v>7.5298295222783002E-2</v>
      </c>
    </row>
    <row r="202" spans="1:23" x14ac:dyDescent="0.4">
      <c r="A202" s="1">
        <v>45610</v>
      </c>
      <c r="B202">
        <v>216.9</v>
      </c>
      <c r="C202">
        <v>168.25</v>
      </c>
      <c r="D202">
        <v>154.69999999999999</v>
      </c>
      <c r="E202">
        <v>132</v>
      </c>
      <c r="F202">
        <v>113</v>
      </c>
      <c r="G202">
        <v>125.55</v>
      </c>
      <c r="H202">
        <v>88.4</v>
      </c>
      <c r="Q202">
        <v>5.6415179475604697E-2</v>
      </c>
      <c r="R202">
        <v>4.2500024115031003E-2</v>
      </c>
      <c r="S202">
        <v>6.3328813060752401E-2</v>
      </c>
      <c r="T202">
        <v>6.0958309708443202E-2</v>
      </c>
      <c r="U202">
        <v>7.7081790126708696E-2</v>
      </c>
      <c r="V202">
        <v>0.32408331029969101</v>
      </c>
      <c r="W202">
        <v>8.80926291721702E-2</v>
      </c>
    </row>
    <row r="203" spans="1:23" x14ac:dyDescent="0.4">
      <c r="A203" s="1">
        <v>45611</v>
      </c>
      <c r="B203">
        <v>217.3</v>
      </c>
      <c r="C203">
        <v>168.6</v>
      </c>
      <c r="D203">
        <v>154.75</v>
      </c>
      <c r="E203">
        <v>131.85</v>
      </c>
      <c r="F203">
        <v>113.4</v>
      </c>
      <c r="G203">
        <v>125.35</v>
      </c>
      <c r="H203">
        <v>88.3</v>
      </c>
      <c r="Q203">
        <v>5.6041837479957002E-2</v>
      </c>
      <c r="R203">
        <v>4.1688097057176202E-2</v>
      </c>
      <c r="S203">
        <v>6.3811662206325198E-2</v>
      </c>
      <c r="T203">
        <v>6.2801743107570696E-2</v>
      </c>
      <c r="U203">
        <v>7.6088192972598098E-2</v>
      </c>
      <c r="V203">
        <v>0.32695859402631239</v>
      </c>
      <c r="W203">
        <v>8.9735037592035799E-2</v>
      </c>
    </row>
    <row r="204" spans="1:23" x14ac:dyDescent="0.4">
      <c r="A204" s="1">
        <v>45615</v>
      </c>
      <c r="B204">
        <v>216.9</v>
      </c>
      <c r="C204">
        <v>168.05</v>
      </c>
      <c r="D204">
        <v>154.4</v>
      </c>
      <c r="E204">
        <v>131.9</v>
      </c>
      <c r="F204">
        <v>113.8</v>
      </c>
      <c r="G204">
        <v>124.75</v>
      </c>
      <c r="H204">
        <v>88.5</v>
      </c>
      <c r="Q204">
        <v>6.05118359672236E-2</v>
      </c>
      <c r="R204">
        <v>4.9564220924729202E-2</v>
      </c>
      <c r="S204">
        <v>6.7567081653992805E-2</v>
      </c>
      <c r="T204">
        <v>6.6461717039009202E-2</v>
      </c>
      <c r="U204">
        <v>7.6868013033778895E-2</v>
      </c>
      <c r="V204">
        <v>0.33672152051902632</v>
      </c>
      <c r="W204">
        <v>9.18297469862593E-2</v>
      </c>
    </row>
    <row r="205" spans="1:23" x14ac:dyDescent="0.4">
      <c r="A205" s="1">
        <v>45616</v>
      </c>
      <c r="B205">
        <v>216.5</v>
      </c>
      <c r="C205">
        <v>167.75</v>
      </c>
      <c r="D205">
        <v>154.25</v>
      </c>
      <c r="E205">
        <v>131.4</v>
      </c>
      <c r="F205">
        <v>115</v>
      </c>
      <c r="G205">
        <v>125.3</v>
      </c>
      <c r="H205">
        <v>88</v>
      </c>
      <c r="Q205">
        <v>6.2545685476768698E-2</v>
      </c>
      <c r="R205">
        <v>5.25122724798677E-2</v>
      </c>
      <c r="S205">
        <v>6.87213327957064E-2</v>
      </c>
      <c r="T205">
        <v>7.0414067565383598E-2</v>
      </c>
      <c r="U205">
        <v>7.2740379972557195E-2</v>
      </c>
      <c r="V205">
        <v>0.33228416259567628</v>
      </c>
      <c r="W205">
        <v>9.6548214845291094E-2</v>
      </c>
    </row>
    <row r="206" spans="1:23" x14ac:dyDescent="0.4">
      <c r="A206" s="1">
        <v>45617</v>
      </c>
      <c r="B206">
        <v>217.25</v>
      </c>
      <c r="C206">
        <v>168.25</v>
      </c>
      <c r="D206">
        <v>154.55000000000001</v>
      </c>
      <c r="E206">
        <v>131.69999999999999</v>
      </c>
      <c r="F206">
        <v>113.85</v>
      </c>
      <c r="G206">
        <v>124.6</v>
      </c>
      <c r="H206">
        <v>88.45</v>
      </c>
      <c r="Q206">
        <v>6.11211840876109E-2</v>
      </c>
      <c r="R206">
        <v>5.0829693597731797E-2</v>
      </c>
      <c r="S206">
        <v>6.8389931622132E-2</v>
      </c>
      <c r="T206">
        <v>6.9648472785317994E-2</v>
      </c>
      <c r="U206">
        <v>7.7857518480503596E-2</v>
      </c>
      <c r="V206">
        <v>0.34021798153327382</v>
      </c>
      <c r="W206">
        <v>9.4030797444063896E-2</v>
      </c>
    </row>
    <row r="207" spans="1:23" x14ac:dyDescent="0.4">
      <c r="A207" s="1">
        <v>45618</v>
      </c>
      <c r="B207">
        <v>218.1</v>
      </c>
      <c r="C207">
        <v>169</v>
      </c>
      <c r="D207">
        <v>154.80000000000001</v>
      </c>
      <c r="E207">
        <v>132.25</v>
      </c>
      <c r="F207">
        <v>113.1</v>
      </c>
      <c r="G207">
        <v>124.45</v>
      </c>
      <c r="H207">
        <v>88.5</v>
      </c>
      <c r="Q207">
        <v>5.94019581283107E-2</v>
      </c>
      <c r="R207">
        <v>4.7705941038390001E-2</v>
      </c>
      <c r="S207">
        <v>6.8224806994736001E-2</v>
      </c>
      <c r="T207">
        <v>6.74085132546281E-2</v>
      </c>
      <c r="U207">
        <v>8.1448608800161595E-2</v>
      </c>
      <c r="V207">
        <v>0.34273621473232141</v>
      </c>
      <c r="W207">
        <v>9.4566516627475602E-2</v>
      </c>
    </row>
    <row r="208" spans="1:23" x14ac:dyDescent="0.4">
      <c r="A208" s="1">
        <v>45621</v>
      </c>
      <c r="B208">
        <v>217.4</v>
      </c>
      <c r="C208">
        <v>168.8</v>
      </c>
      <c r="D208">
        <v>154.65</v>
      </c>
      <c r="E208">
        <v>131.9</v>
      </c>
      <c r="F208">
        <v>115.9</v>
      </c>
      <c r="G208">
        <v>125</v>
      </c>
      <c r="H208">
        <v>88.01</v>
      </c>
      <c r="Q208">
        <v>6.4023318392823603E-2</v>
      </c>
      <c r="R208">
        <v>5.25316608063775E-2</v>
      </c>
      <c r="S208">
        <v>7.0717205060157204E-2</v>
      </c>
      <c r="T208">
        <v>7.2536174903987602E-2</v>
      </c>
      <c r="U208">
        <v>7.2166100226671401E-2</v>
      </c>
      <c r="V208">
        <v>0.3402789975759018</v>
      </c>
      <c r="W208">
        <v>0.10112025450169521</v>
      </c>
    </row>
    <row r="209" spans="1:23" x14ac:dyDescent="0.4">
      <c r="A209" s="1">
        <v>45622</v>
      </c>
      <c r="B209">
        <v>217.5</v>
      </c>
      <c r="C209">
        <v>168.5</v>
      </c>
      <c r="D209">
        <v>154.35</v>
      </c>
      <c r="E209">
        <v>132.1</v>
      </c>
      <c r="F209">
        <v>116.2</v>
      </c>
      <c r="G209">
        <v>124.35</v>
      </c>
      <c r="H209">
        <v>88.8</v>
      </c>
      <c r="Q209">
        <v>6.44199620411368E-2</v>
      </c>
      <c r="R209">
        <v>5.5314364073219602E-2</v>
      </c>
      <c r="S209">
        <v>7.2274349644768601E-2</v>
      </c>
      <c r="T209">
        <v>7.2194596800047903E-2</v>
      </c>
      <c r="U209">
        <v>7.1486752588677399E-2</v>
      </c>
      <c r="V209">
        <v>0.3478934606101472</v>
      </c>
      <c r="W209">
        <v>9.5815351951589994E-2</v>
      </c>
    </row>
    <row r="210" spans="1:23" x14ac:dyDescent="0.4">
      <c r="A210" s="1">
        <v>45623</v>
      </c>
      <c r="B210">
        <v>217.95</v>
      </c>
      <c r="C210">
        <v>168.7</v>
      </c>
      <c r="D210">
        <v>155.9</v>
      </c>
      <c r="E210">
        <v>132.35</v>
      </c>
      <c r="F210">
        <v>116.8</v>
      </c>
      <c r="G210">
        <v>124.75</v>
      </c>
      <c r="H210">
        <v>88.25</v>
      </c>
      <c r="Q210">
        <v>6.3754896632488595E-2</v>
      </c>
      <c r="R210">
        <v>5.5166684645157602E-2</v>
      </c>
      <c r="S210">
        <v>6.7679900945311899E-2</v>
      </c>
      <c r="T210">
        <v>7.1554978938847005E-2</v>
      </c>
      <c r="U210">
        <v>6.9647728209106793E-2</v>
      </c>
      <c r="V210">
        <v>0.34487072762484328</v>
      </c>
      <c r="W210">
        <v>0.1008382619205638</v>
      </c>
    </row>
    <row r="211" spans="1:23" x14ac:dyDescent="0.4">
      <c r="A211" s="1">
        <v>45624</v>
      </c>
      <c r="B211">
        <v>218.25</v>
      </c>
      <c r="C211">
        <v>168.5</v>
      </c>
      <c r="D211">
        <v>154.9</v>
      </c>
      <c r="E211">
        <v>132.19999999999999</v>
      </c>
      <c r="F211">
        <v>115.7</v>
      </c>
      <c r="G211">
        <v>124.55</v>
      </c>
      <c r="H211">
        <v>88.25</v>
      </c>
      <c r="Q211">
        <v>6.3545662942996198E-2</v>
      </c>
      <c r="R211">
        <v>5.7385767137315503E-2</v>
      </c>
      <c r="S211">
        <v>7.1553714745856103E-2</v>
      </c>
      <c r="T211">
        <v>7.3310138918967899E-2</v>
      </c>
      <c r="U211">
        <v>7.4420899167742596E-2</v>
      </c>
      <c r="V211">
        <v>0.34795905340212202</v>
      </c>
      <c r="W211">
        <v>0.1016303745503267</v>
      </c>
    </row>
    <row r="212" spans="1:23" x14ac:dyDescent="0.4">
      <c r="A212" s="1">
        <v>45625</v>
      </c>
      <c r="B212">
        <v>218</v>
      </c>
      <c r="C212">
        <v>169</v>
      </c>
      <c r="D212">
        <v>154.6</v>
      </c>
      <c r="E212">
        <v>132.05000000000001</v>
      </c>
      <c r="F212">
        <v>115.9</v>
      </c>
      <c r="G212">
        <v>123.9</v>
      </c>
      <c r="H212">
        <v>88.75</v>
      </c>
      <c r="Q212">
        <v>6.5010017297990205E-2</v>
      </c>
      <c r="R212">
        <v>5.5464238020202297E-2</v>
      </c>
      <c r="S212">
        <v>7.3117879898521795E-2</v>
      </c>
      <c r="T212">
        <v>7.5076452394464796E-2</v>
      </c>
      <c r="U212">
        <v>7.4130183913233894E-2</v>
      </c>
      <c r="V212">
        <v>0.35572242126839182</v>
      </c>
      <c r="W212">
        <v>9.85466473735188E-2</v>
      </c>
    </row>
    <row r="213" spans="1:23" x14ac:dyDescent="0.4">
      <c r="A213" s="1">
        <v>45628</v>
      </c>
      <c r="B213">
        <v>217.55</v>
      </c>
      <c r="C213">
        <v>169.35</v>
      </c>
      <c r="D213">
        <v>154.44999999999999</v>
      </c>
      <c r="E213">
        <v>132.4</v>
      </c>
      <c r="F213">
        <v>115</v>
      </c>
      <c r="G213">
        <v>123.95</v>
      </c>
      <c r="H213">
        <v>87.73</v>
      </c>
      <c r="Q213">
        <v>6.8526132282009197E-2</v>
      </c>
      <c r="R213">
        <v>5.6518106645106099E-2</v>
      </c>
      <c r="S213">
        <v>7.5318802380510197E-2</v>
      </c>
      <c r="T213">
        <v>7.5573695440681501E-2</v>
      </c>
      <c r="U213">
        <v>7.91834135844523E-2</v>
      </c>
      <c r="V213">
        <v>0.35848614067890111</v>
      </c>
      <c r="W213">
        <v>0.1089349636306564</v>
      </c>
    </row>
    <row r="214" spans="1:23" x14ac:dyDescent="0.4">
      <c r="A214" s="1">
        <v>45629</v>
      </c>
      <c r="B214">
        <v>218.45</v>
      </c>
      <c r="C214">
        <v>169.65</v>
      </c>
      <c r="D214">
        <v>155</v>
      </c>
      <c r="E214">
        <v>132.69999999999999</v>
      </c>
      <c r="F214">
        <v>116.3</v>
      </c>
      <c r="G214">
        <v>123.35</v>
      </c>
      <c r="H214">
        <v>88.5</v>
      </c>
      <c r="Q214">
        <v>6.6476356219509106E-2</v>
      </c>
      <c r="R214">
        <v>5.5780816652944598E-2</v>
      </c>
      <c r="S214">
        <v>7.4031850388352902E-2</v>
      </c>
      <c r="T214">
        <v>7.4631918376374701E-2</v>
      </c>
      <c r="U214">
        <v>7.4541820301688794E-2</v>
      </c>
      <c r="V214">
        <v>0.3659247803368556</v>
      </c>
      <c r="W214">
        <v>0.1036779865990462</v>
      </c>
    </row>
    <row r="215" spans="1:23" x14ac:dyDescent="0.4">
      <c r="A215" s="1">
        <v>45630</v>
      </c>
      <c r="B215">
        <v>217.1</v>
      </c>
      <c r="C215">
        <v>168.9</v>
      </c>
      <c r="D215">
        <v>153.94999999999999</v>
      </c>
      <c r="E215">
        <v>132.19999999999999</v>
      </c>
      <c r="F215">
        <v>117</v>
      </c>
      <c r="G215">
        <v>122</v>
      </c>
      <c r="H215">
        <v>88.25</v>
      </c>
      <c r="Q215">
        <v>7.13644901631144E-2</v>
      </c>
      <c r="R215">
        <v>6.1339039902890101E-2</v>
      </c>
      <c r="S215">
        <v>7.8159017738360495E-2</v>
      </c>
      <c r="T215">
        <v>7.8550380095961006E-2</v>
      </c>
      <c r="U215">
        <v>7.2297651295411602E-2</v>
      </c>
      <c r="V215">
        <v>0.38158011013132931</v>
      </c>
      <c r="W215">
        <v>0.106453685860388</v>
      </c>
    </row>
    <row r="216" spans="1:23" x14ac:dyDescent="0.4">
      <c r="A216" s="1">
        <v>45631</v>
      </c>
      <c r="B216">
        <v>214.65</v>
      </c>
      <c r="C216">
        <v>168</v>
      </c>
      <c r="D216">
        <v>152.25</v>
      </c>
      <c r="E216">
        <v>131</v>
      </c>
      <c r="F216">
        <v>117.8</v>
      </c>
      <c r="G216">
        <v>121.6</v>
      </c>
      <c r="H216">
        <v>87.5</v>
      </c>
      <c r="Q216">
        <v>7.9792745263237E-2</v>
      </c>
      <c r="R216">
        <v>6.7893727793423495E-2</v>
      </c>
      <c r="S216">
        <v>8.4586360235262101E-2</v>
      </c>
      <c r="T216">
        <v>8.68465861721473E-2</v>
      </c>
      <c r="U216">
        <v>6.9682102647153799E-2</v>
      </c>
      <c r="V216">
        <v>0.3871527138528254</v>
      </c>
      <c r="W216">
        <v>0.11324384054184471</v>
      </c>
    </row>
    <row r="217" spans="1:23" x14ac:dyDescent="0.4">
      <c r="A217" s="1">
        <v>45632</v>
      </c>
      <c r="B217">
        <v>218.6</v>
      </c>
      <c r="C217">
        <v>170</v>
      </c>
      <c r="D217">
        <v>153.9</v>
      </c>
      <c r="E217">
        <v>132.69999999999999</v>
      </c>
      <c r="F217">
        <v>114</v>
      </c>
      <c r="G217">
        <v>123.75</v>
      </c>
      <c r="H217">
        <v>88.5</v>
      </c>
      <c r="Q217">
        <v>6.8171181598497901E-2</v>
      </c>
      <c r="R217">
        <v>5.6857093129165301E-2</v>
      </c>
      <c r="S217">
        <v>7.94847182349077E-2</v>
      </c>
      <c r="T217">
        <v>7.7271436726540202E-2</v>
      </c>
      <c r="U217">
        <v>8.5245589240473096E-2</v>
      </c>
      <c r="V217">
        <v>0.36508268567557628</v>
      </c>
      <c r="W217">
        <v>0.1061108674982148</v>
      </c>
    </row>
    <row r="218" spans="1:23" x14ac:dyDescent="0.4">
      <c r="A218" s="1">
        <v>45635</v>
      </c>
      <c r="B218">
        <v>219</v>
      </c>
      <c r="C218">
        <v>170.35</v>
      </c>
      <c r="D218">
        <v>154.44999999999999</v>
      </c>
      <c r="E218">
        <v>132.94999999999999</v>
      </c>
      <c r="F218">
        <v>112.1</v>
      </c>
      <c r="G218">
        <v>124.4</v>
      </c>
      <c r="H218">
        <v>88.5</v>
      </c>
      <c r="Q218">
        <v>6.9111313594358695E-2</v>
      </c>
      <c r="R218">
        <v>5.7956198484153398E-2</v>
      </c>
      <c r="S218">
        <v>7.9344177250644701E-2</v>
      </c>
      <c r="T218">
        <v>7.8414533701180095E-2</v>
      </c>
      <c r="U218">
        <v>9.4648219716335497E-2</v>
      </c>
      <c r="V218">
        <v>0.36157371891939583</v>
      </c>
      <c r="W218">
        <v>0.1085748653054241</v>
      </c>
    </row>
    <row r="219" spans="1:23" x14ac:dyDescent="0.4">
      <c r="A219" s="1">
        <v>45636</v>
      </c>
      <c r="B219">
        <v>220.4</v>
      </c>
      <c r="C219">
        <v>169.85</v>
      </c>
      <c r="D219">
        <v>154.55000000000001</v>
      </c>
      <c r="E219">
        <v>132.9</v>
      </c>
      <c r="F219">
        <v>116.5</v>
      </c>
      <c r="G219">
        <v>123.95</v>
      </c>
      <c r="H219">
        <v>88.8</v>
      </c>
      <c r="Q219">
        <v>8.3113101815699794E-2</v>
      </c>
      <c r="R219">
        <v>8.5418419781109006E-2</v>
      </c>
      <c r="S219">
        <v>9.1447585502472298E-2</v>
      </c>
      <c r="T219">
        <v>8.81321897325716E-2</v>
      </c>
      <c r="U219">
        <v>8.2055392783360201E-2</v>
      </c>
      <c r="V219">
        <v>0.36753949555831128</v>
      </c>
      <c r="W219">
        <v>0.1076423838644132</v>
      </c>
    </row>
    <row r="220" spans="1:23" x14ac:dyDescent="0.4">
      <c r="A220" s="1">
        <v>45637</v>
      </c>
      <c r="B220">
        <v>217.5</v>
      </c>
      <c r="C220">
        <v>169.4</v>
      </c>
      <c r="D220">
        <v>154.5</v>
      </c>
      <c r="E220">
        <v>132.4</v>
      </c>
      <c r="F220">
        <v>113.5</v>
      </c>
      <c r="G220">
        <v>126.6</v>
      </c>
      <c r="H220">
        <v>88.78</v>
      </c>
      <c r="Q220">
        <v>9.3065378307292196E-2</v>
      </c>
      <c r="R220">
        <v>8.9427510147260303E-2</v>
      </c>
      <c r="S220">
        <v>9.2227681602553693E-2</v>
      </c>
      <c r="T220">
        <v>9.2182652510661198E-2</v>
      </c>
      <c r="U220">
        <v>9.4756025225940801E-2</v>
      </c>
      <c r="V220">
        <v>0.34066979949456139</v>
      </c>
      <c r="W220">
        <v>0.1086290108219798</v>
      </c>
    </row>
    <row r="221" spans="1:23" x14ac:dyDescent="0.4">
      <c r="A221" s="1">
        <v>45638</v>
      </c>
      <c r="B221">
        <v>217.6</v>
      </c>
      <c r="C221">
        <v>169.85</v>
      </c>
      <c r="D221">
        <v>154.44999999999999</v>
      </c>
      <c r="E221">
        <v>132.5</v>
      </c>
      <c r="F221">
        <v>112.75</v>
      </c>
      <c r="G221">
        <v>127.5</v>
      </c>
      <c r="H221">
        <v>88.3</v>
      </c>
      <c r="Q221">
        <v>9.3536741036844603E-2</v>
      </c>
      <c r="R221">
        <v>8.7796841873779105E-2</v>
      </c>
      <c r="S221">
        <v>9.3010423134839607E-2</v>
      </c>
      <c r="T221">
        <v>9.2496802914268594E-2</v>
      </c>
      <c r="U221">
        <v>9.8416021827487293E-2</v>
      </c>
      <c r="V221">
        <v>0.33245009672875048</v>
      </c>
      <c r="W221">
        <v>0.1133061848349524</v>
      </c>
    </row>
    <row r="222" spans="1:23" x14ac:dyDescent="0.4">
      <c r="A222" s="1">
        <v>45639</v>
      </c>
      <c r="B222">
        <v>220</v>
      </c>
      <c r="C222">
        <v>171.8</v>
      </c>
      <c r="D222">
        <v>156</v>
      </c>
      <c r="E222">
        <v>134</v>
      </c>
      <c r="F222">
        <v>113.3</v>
      </c>
      <c r="G222">
        <v>128.75</v>
      </c>
      <c r="H222">
        <v>89</v>
      </c>
      <c r="Q222">
        <v>8.6522845231223097E-2</v>
      </c>
      <c r="R222">
        <v>7.6621630217057202E-2</v>
      </c>
      <c r="S222">
        <v>8.8131047746911495E-2</v>
      </c>
      <c r="T222">
        <v>8.3908911274509501E-2</v>
      </c>
      <c r="U222">
        <v>9.6540488548954806E-2</v>
      </c>
      <c r="V222">
        <v>0.31975925268102562</v>
      </c>
      <c r="W222">
        <v>8.8246649320449205E-2</v>
      </c>
    </row>
    <row r="223" spans="1:23" x14ac:dyDescent="0.4">
      <c r="A223" s="1">
        <v>45642</v>
      </c>
      <c r="B223">
        <v>222</v>
      </c>
      <c r="C223">
        <v>172.2</v>
      </c>
      <c r="D223">
        <v>157.4</v>
      </c>
      <c r="E223">
        <v>134.69999999999999</v>
      </c>
      <c r="F223">
        <v>113.7</v>
      </c>
      <c r="G223">
        <v>129.6</v>
      </c>
      <c r="H223">
        <v>89.75</v>
      </c>
      <c r="Q223">
        <v>8.2560000817881299E-2</v>
      </c>
      <c r="R223">
        <v>7.76378233896481E-2</v>
      </c>
      <c r="S223">
        <v>8.48038599419349E-2</v>
      </c>
      <c r="T223">
        <v>8.2353702310823201E-2</v>
      </c>
      <c r="U223">
        <v>9.1135692231340201E-2</v>
      </c>
      <c r="V223">
        <v>0.31419994283502561</v>
      </c>
      <c r="W223">
        <v>8.3842768740270704E-2</v>
      </c>
    </row>
    <row r="224" spans="1:23" x14ac:dyDescent="0.4">
      <c r="A224" s="1">
        <v>45643</v>
      </c>
      <c r="B224">
        <v>221.45</v>
      </c>
      <c r="C224">
        <v>172.4</v>
      </c>
      <c r="D224">
        <v>156.35</v>
      </c>
      <c r="E224">
        <v>134.5</v>
      </c>
      <c r="F224">
        <v>115</v>
      </c>
      <c r="G224">
        <v>128.6</v>
      </c>
      <c r="H224">
        <v>89</v>
      </c>
      <c r="Q224">
        <v>8.5060495319599194E-2</v>
      </c>
      <c r="R224">
        <v>7.7568249903078201E-2</v>
      </c>
      <c r="S224">
        <v>8.9342206958242604E-2</v>
      </c>
      <c r="T224">
        <v>8.4510688879728499E-2</v>
      </c>
      <c r="U224">
        <v>9.1668159001043401E-2</v>
      </c>
      <c r="V224">
        <v>0.32533163967351869</v>
      </c>
      <c r="W224">
        <v>9.0830023862951997E-2</v>
      </c>
    </row>
    <row r="225" spans="1:23" x14ac:dyDescent="0.4">
      <c r="A225" s="1">
        <v>45644</v>
      </c>
      <c r="B225">
        <v>221.35</v>
      </c>
      <c r="C225">
        <v>172.1</v>
      </c>
      <c r="D225">
        <v>156.4</v>
      </c>
      <c r="E225">
        <v>134.5</v>
      </c>
      <c r="F225">
        <v>115</v>
      </c>
      <c r="G225">
        <v>129.5</v>
      </c>
      <c r="H225">
        <v>89.3</v>
      </c>
      <c r="Q225">
        <v>8.6155633489705993E-2</v>
      </c>
      <c r="R225">
        <v>8.0612870881600004E-2</v>
      </c>
      <c r="S225">
        <v>8.9777035701394503E-2</v>
      </c>
      <c r="T225">
        <v>8.54398700339392E-2</v>
      </c>
      <c r="U225">
        <v>9.2202167529767204E-2</v>
      </c>
      <c r="V225">
        <v>0.31719602989274182</v>
      </c>
      <c r="W225">
        <v>8.9541597710103102E-2</v>
      </c>
    </row>
    <row r="226" spans="1:23" x14ac:dyDescent="0.4">
      <c r="A226" s="1">
        <v>45645</v>
      </c>
      <c r="B226">
        <v>221.4</v>
      </c>
      <c r="C226">
        <v>172.4</v>
      </c>
      <c r="D226">
        <v>156.6</v>
      </c>
      <c r="E226">
        <v>134.65</v>
      </c>
      <c r="F226">
        <v>115.2</v>
      </c>
      <c r="G226">
        <v>129.69999999999999</v>
      </c>
      <c r="H226">
        <v>89.5</v>
      </c>
      <c r="Q226">
        <v>8.6780795549543793E-2</v>
      </c>
      <c r="R226">
        <v>7.9925435102709094E-2</v>
      </c>
      <c r="S226">
        <v>8.96954587073788E-2</v>
      </c>
      <c r="T226">
        <v>8.5440950726894102E-2</v>
      </c>
      <c r="U226">
        <v>9.1916546431352705E-2</v>
      </c>
      <c r="V226">
        <v>0.31617459432258949</v>
      </c>
      <c r="W226">
        <v>8.8901088344971804E-2</v>
      </c>
    </row>
    <row r="227" spans="1:23" x14ac:dyDescent="0.4">
      <c r="A227" s="1">
        <v>45646</v>
      </c>
      <c r="B227">
        <v>222.5</v>
      </c>
      <c r="C227">
        <v>173.7</v>
      </c>
      <c r="D227">
        <v>157.19999999999999</v>
      </c>
      <c r="E227">
        <v>135.35</v>
      </c>
      <c r="F227">
        <v>116.25</v>
      </c>
      <c r="G227">
        <v>130.5</v>
      </c>
      <c r="H227">
        <v>90.15</v>
      </c>
      <c r="Q227">
        <v>8.4089042295206404E-2</v>
      </c>
      <c r="R227">
        <v>7.3024451647528396E-2</v>
      </c>
      <c r="S227">
        <v>8.8236839850900403E-2</v>
      </c>
      <c r="T227">
        <v>8.2033898020683699E-2</v>
      </c>
      <c r="U227">
        <v>8.8166624461681595E-2</v>
      </c>
      <c r="V227">
        <v>0.30910473685823558</v>
      </c>
      <c r="W227">
        <v>8.5378318815826595E-2</v>
      </c>
    </row>
    <row r="228" spans="1:23" x14ac:dyDescent="0.4">
      <c r="A228" s="1">
        <v>45649</v>
      </c>
      <c r="B228">
        <v>223</v>
      </c>
      <c r="C228">
        <v>174.2</v>
      </c>
      <c r="D228">
        <v>158</v>
      </c>
      <c r="E228">
        <v>136</v>
      </c>
      <c r="F228">
        <v>115.5</v>
      </c>
      <c r="G228">
        <v>131.05000000000001</v>
      </c>
      <c r="H228">
        <v>90.5</v>
      </c>
      <c r="Q228">
        <v>8.4858952357299303E-2</v>
      </c>
      <c r="R228">
        <v>7.3432789614931299E-2</v>
      </c>
      <c r="S228">
        <v>8.7310918965432693E-2</v>
      </c>
      <c r="T228">
        <v>8.0798284560924999E-2</v>
      </c>
      <c r="U228">
        <v>9.2832526753247296E-2</v>
      </c>
      <c r="V228">
        <v>0.30651833856265459</v>
      </c>
      <c r="W228">
        <v>8.5073281302440601E-2</v>
      </c>
    </row>
    <row r="229" spans="1:23" x14ac:dyDescent="0.4">
      <c r="A229" s="1">
        <v>45650</v>
      </c>
      <c r="B229">
        <v>227.2</v>
      </c>
      <c r="C229">
        <v>178</v>
      </c>
      <c r="D229">
        <v>159.30000000000001</v>
      </c>
      <c r="E229">
        <v>138.1</v>
      </c>
      <c r="F229">
        <v>116.4</v>
      </c>
      <c r="G229">
        <v>132.4</v>
      </c>
      <c r="H229">
        <v>90.2</v>
      </c>
      <c r="Q229">
        <v>7.2538739049628598E-2</v>
      </c>
      <c r="R229">
        <v>5.1414911545270503E-2</v>
      </c>
      <c r="S229">
        <v>8.3477385203385698E-2</v>
      </c>
      <c r="T229">
        <v>6.8889122009216194E-2</v>
      </c>
      <c r="U229">
        <v>8.9684277572416204E-2</v>
      </c>
      <c r="V229">
        <v>0.29401915914779703</v>
      </c>
      <c r="W229">
        <v>8.7643001631016806E-2</v>
      </c>
    </row>
    <row r="230" spans="1:23" x14ac:dyDescent="0.4">
      <c r="A230" s="1">
        <v>45652</v>
      </c>
      <c r="B230">
        <v>223.75</v>
      </c>
      <c r="C230">
        <v>174</v>
      </c>
      <c r="D230">
        <v>156.35</v>
      </c>
      <c r="E230">
        <v>135.80000000000001</v>
      </c>
      <c r="F230">
        <v>115.85</v>
      </c>
      <c r="G230">
        <v>131</v>
      </c>
      <c r="H230">
        <v>90.49</v>
      </c>
      <c r="Q230">
        <v>8.4219194964925997E-2</v>
      </c>
      <c r="R230">
        <v>7.7277005695279899E-2</v>
      </c>
      <c r="S230">
        <v>9.4395731048017906E-2</v>
      </c>
      <c r="T230">
        <v>8.4097991924491897E-2</v>
      </c>
      <c r="U230">
        <v>9.7356060460113095E-2</v>
      </c>
      <c r="V230">
        <v>0.3099902952553632</v>
      </c>
      <c r="W230">
        <v>8.6564185985618103E-2</v>
      </c>
    </row>
    <row r="231" spans="1:23" x14ac:dyDescent="0.4">
      <c r="A231" s="1">
        <v>45653</v>
      </c>
      <c r="B231">
        <v>223.5</v>
      </c>
      <c r="C231">
        <v>174.25</v>
      </c>
      <c r="D231">
        <v>157.05000000000001</v>
      </c>
      <c r="E231">
        <v>134.94999999999999</v>
      </c>
      <c r="F231">
        <v>114.65</v>
      </c>
      <c r="G231">
        <v>130.80000000000001</v>
      </c>
      <c r="H231">
        <v>90</v>
      </c>
      <c r="Q231">
        <v>8.5803442554741399E-2</v>
      </c>
      <c r="R231">
        <v>7.6902658656730197E-2</v>
      </c>
      <c r="S231">
        <v>9.2570890869469999E-2</v>
      </c>
      <c r="T231">
        <v>9.0400919272819694E-2</v>
      </c>
      <c r="U231">
        <v>9.8114904741118503E-2</v>
      </c>
      <c r="V231">
        <v>0.31303708520854451</v>
      </c>
      <c r="W231">
        <v>9.0382668817597794E-2</v>
      </c>
    </row>
    <row r="232" spans="1:23" x14ac:dyDescent="0.4">
      <c r="A232" s="1">
        <v>45656</v>
      </c>
      <c r="B232">
        <v>223.25</v>
      </c>
      <c r="C232">
        <v>173.5</v>
      </c>
      <c r="D232">
        <v>156.80000000000001</v>
      </c>
      <c r="E232">
        <v>135.6</v>
      </c>
      <c r="F232">
        <v>116.5</v>
      </c>
      <c r="G232">
        <v>130.69999999999999</v>
      </c>
      <c r="H232">
        <v>90.4</v>
      </c>
      <c r="Q232">
        <v>8.7729713500333206E-2</v>
      </c>
      <c r="R232">
        <v>8.3367354810047298E-2</v>
      </c>
      <c r="S232">
        <v>9.4343053586280701E-2</v>
      </c>
      <c r="T232">
        <v>8.7653274421223504E-2</v>
      </c>
      <c r="U232">
        <v>9.1232012328920406E-2</v>
      </c>
      <c r="V232">
        <v>0.31714152497068671</v>
      </c>
      <c r="W232">
        <v>8.8726036533297803E-2</v>
      </c>
    </row>
    <row r="233" spans="1:23" x14ac:dyDescent="0.4">
      <c r="A233" s="1">
        <v>45659</v>
      </c>
      <c r="B233">
        <v>223.5</v>
      </c>
      <c r="C233">
        <v>174.25</v>
      </c>
      <c r="D233">
        <v>158.5</v>
      </c>
      <c r="E233">
        <v>137.25</v>
      </c>
      <c r="F233">
        <v>116.2</v>
      </c>
      <c r="G233">
        <v>133.25</v>
      </c>
      <c r="H233">
        <v>90.3</v>
      </c>
      <c r="Q233">
        <v>8.9810445404106307E-2</v>
      </c>
      <c r="R233">
        <v>8.2985410395174805E-2</v>
      </c>
      <c r="S233">
        <v>9.0627793877688601E-2</v>
      </c>
      <c r="T233">
        <v>8.0684547336275295E-2</v>
      </c>
      <c r="U233">
        <v>9.4412173969997196E-2</v>
      </c>
      <c r="V233">
        <v>0.29407877484069511</v>
      </c>
      <c r="W233">
        <v>9.17442138971091E-2</v>
      </c>
    </row>
    <row r="234" spans="1:23" x14ac:dyDescent="0.4">
      <c r="A234" s="1">
        <v>45660</v>
      </c>
      <c r="B234">
        <v>225.45</v>
      </c>
      <c r="C234">
        <v>175</v>
      </c>
      <c r="D234">
        <v>159.75</v>
      </c>
      <c r="E234">
        <v>137</v>
      </c>
      <c r="F234">
        <v>116.9</v>
      </c>
      <c r="G234">
        <v>135.30000000000001</v>
      </c>
      <c r="H234">
        <v>90.85</v>
      </c>
      <c r="Q234">
        <v>8.4273299484367001E-2</v>
      </c>
      <c r="R234">
        <v>7.9263771590496496E-2</v>
      </c>
      <c r="S234">
        <v>8.6851908536075398E-2</v>
      </c>
      <c r="T234">
        <v>8.3100416621975107E-2</v>
      </c>
      <c r="U234">
        <v>9.2008231442458899E-2</v>
      </c>
      <c r="V234">
        <v>0.27463380313588293</v>
      </c>
      <c r="W234">
        <v>8.8755658267381105E-2</v>
      </c>
    </row>
    <row r="235" spans="1:23" x14ac:dyDescent="0.4">
      <c r="A235" s="1">
        <v>45663</v>
      </c>
      <c r="B235">
        <v>227.9</v>
      </c>
      <c r="C235">
        <v>176.35</v>
      </c>
      <c r="D235">
        <v>161</v>
      </c>
      <c r="E235">
        <v>138</v>
      </c>
      <c r="F235">
        <v>116.85</v>
      </c>
      <c r="G235">
        <v>134.94999999999999</v>
      </c>
      <c r="H235">
        <v>91.6</v>
      </c>
      <c r="Q235">
        <v>7.7521949984218505E-2</v>
      </c>
      <c r="R235">
        <v>7.2169119514027893E-2</v>
      </c>
      <c r="S235">
        <v>8.3356553535995803E-2</v>
      </c>
      <c r="T235">
        <v>7.8038712202581295E-2</v>
      </c>
      <c r="U235">
        <v>9.2939014694215893E-2</v>
      </c>
      <c r="V235">
        <v>0.28081920631632851</v>
      </c>
      <c r="W235">
        <v>8.4767860383740998E-2</v>
      </c>
    </row>
    <row r="236" spans="1:23" x14ac:dyDescent="0.4">
      <c r="A236" s="1">
        <v>45664</v>
      </c>
      <c r="B236">
        <v>230.5</v>
      </c>
      <c r="C236">
        <v>177.1</v>
      </c>
      <c r="D236">
        <v>162.75</v>
      </c>
      <c r="E236">
        <v>138.94999999999999</v>
      </c>
      <c r="F236">
        <v>119</v>
      </c>
      <c r="G236">
        <v>135</v>
      </c>
      <c r="H236">
        <v>92.7</v>
      </c>
      <c r="Q236">
        <v>7.0083534244357495E-2</v>
      </c>
      <c r="R236">
        <v>6.8467678145015601E-2</v>
      </c>
      <c r="S236">
        <v>7.7951038976400294E-2</v>
      </c>
      <c r="T236">
        <v>7.2951157624569204E-2</v>
      </c>
      <c r="U236">
        <v>8.4636657951311797E-2</v>
      </c>
      <c r="V236">
        <v>0.28124674862399263</v>
      </c>
      <c r="W236">
        <v>7.8320114837679103E-2</v>
      </c>
    </row>
    <row r="237" spans="1:23" x14ac:dyDescent="0.4">
      <c r="A237" s="1">
        <v>45665</v>
      </c>
      <c r="B237">
        <v>231.9</v>
      </c>
      <c r="C237">
        <v>178.5</v>
      </c>
      <c r="D237">
        <v>164.5</v>
      </c>
      <c r="E237">
        <v>140.1</v>
      </c>
      <c r="F237">
        <v>120</v>
      </c>
      <c r="G237">
        <v>136.1</v>
      </c>
      <c r="H237">
        <v>93.7</v>
      </c>
      <c r="Q237">
        <v>6.7528810472221396E-2</v>
      </c>
      <c r="R237">
        <v>6.23994284435367E-2</v>
      </c>
      <c r="S237">
        <v>7.4290596633039496E-2</v>
      </c>
      <c r="T237">
        <v>6.8299643061597998E-2</v>
      </c>
      <c r="U237">
        <v>8.1828413672411004E-2</v>
      </c>
      <c r="V237">
        <v>0.27124040048878528</v>
      </c>
      <c r="W237">
        <v>7.2245363774596394E-2</v>
      </c>
    </row>
    <row r="238" spans="1:23" x14ac:dyDescent="0.4">
      <c r="A238" s="1">
        <v>45666</v>
      </c>
      <c r="B238">
        <v>232.5</v>
      </c>
      <c r="C238">
        <v>178.9</v>
      </c>
      <c r="D238">
        <v>164.7</v>
      </c>
      <c r="E238">
        <v>140.30000000000001</v>
      </c>
      <c r="F238">
        <v>120.75</v>
      </c>
      <c r="G238">
        <v>136.30000000000001</v>
      </c>
      <c r="H238">
        <v>94.61</v>
      </c>
      <c r="Q238">
        <v>6.6357704517907304E-2</v>
      </c>
      <c r="R238">
        <v>6.0932364297154602E-2</v>
      </c>
      <c r="S238">
        <v>7.3319098109849504E-2</v>
      </c>
      <c r="T238">
        <v>6.7580039051314003E-2</v>
      </c>
      <c r="U238">
        <v>7.9311679797856999E-2</v>
      </c>
      <c r="V238">
        <v>0.27016164512759899</v>
      </c>
      <c r="W238">
        <v>6.8401640284243295E-2</v>
      </c>
    </row>
    <row r="239" spans="1:23" x14ac:dyDescent="0.4">
      <c r="A239" s="1">
        <v>45667</v>
      </c>
      <c r="B239">
        <v>232.7</v>
      </c>
      <c r="C239">
        <v>179.7</v>
      </c>
      <c r="D239">
        <v>165</v>
      </c>
      <c r="E239">
        <v>140.75</v>
      </c>
      <c r="F239">
        <v>120.4</v>
      </c>
      <c r="G239">
        <v>136.80000000000001</v>
      </c>
      <c r="H239">
        <v>94.8</v>
      </c>
      <c r="Q239">
        <v>6.6965632420882104E-2</v>
      </c>
      <c r="R239">
        <v>5.7818863535313902E-2</v>
      </c>
      <c r="S239">
        <v>7.3267865535493901E-2</v>
      </c>
      <c r="T239">
        <v>6.6293371941764004E-2</v>
      </c>
      <c r="U239">
        <v>8.1542023718563006E-2</v>
      </c>
      <c r="V239">
        <v>0.26612507802674568</v>
      </c>
      <c r="W239">
        <v>6.8230679543217904E-2</v>
      </c>
    </row>
    <row r="240" spans="1:23" x14ac:dyDescent="0.4">
      <c r="A240" s="1">
        <v>45670</v>
      </c>
      <c r="B240">
        <v>233.3</v>
      </c>
      <c r="C240">
        <v>180.65</v>
      </c>
      <c r="D240">
        <v>165</v>
      </c>
      <c r="E240">
        <v>141.19999999999999</v>
      </c>
      <c r="F240">
        <v>122</v>
      </c>
      <c r="G240">
        <v>136</v>
      </c>
      <c r="H240">
        <v>94.8</v>
      </c>
      <c r="Q240">
        <v>6.6050950687836799E-2</v>
      </c>
      <c r="R240">
        <v>5.3250943755532597E-2</v>
      </c>
      <c r="S240">
        <v>7.4014642187202606E-2</v>
      </c>
      <c r="T240">
        <v>6.4651494957861502E-2</v>
      </c>
      <c r="U240">
        <v>7.5871913340216798E-2</v>
      </c>
      <c r="V240">
        <v>0.27679364305635218</v>
      </c>
      <c r="W240">
        <v>6.90031362590737E-2</v>
      </c>
    </row>
    <row r="241" spans="1:26" x14ac:dyDescent="0.4">
      <c r="A241" s="1">
        <v>45671</v>
      </c>
      <c r="B241">
        <v>234.4</v>
      </c>
      <c r="C241">
        <v>182.05</v>
      </c>
      <c r="D241">
        <v>165.75</v>
      </c>
      <c r="E241">
        <v>142.6</v>
      </c>
      <c r="F241">
        <v>122.1</v>
      </c>
      <c r="G241">
        <v>136</v>
      </c>
      <c r="H241">
        <v>94.77</v>
      </c>
      <c r="Q241">
        <v>6.4442669330338306E-2</v>
      </c>
      <c r="R241">
        <v>4.7290897876676501E-2</v>
      </c>
      <c r="S241">
        <v>7.2887493123441602E-2</v>
      </c>
      <c r="T241">
        <v>5.8242054085746502E-2</v>
      </c>
      <c r="U241">
        <v>7.6678994222771496E-2</v>
      </c>
      <c r="V241">
        <v>0.27772528738851709</v>
      </c>
      <c r="W241">
        <v>7.0650250627535202E-2</v>
      </c>
    </row>
    <row r="242" spans="1:26" x14ac:dyDescent="0.4">
      <c r="A242" s="1">
        <v>45672</v>
      </c>
      <c r="B242">
        <v>234.4</v>
      </c>
      <c r="C242">
        <v>180.75</v>
      </c>
      <c r="D242">
        <v>166.1</v>
      </c>
      <c r="E242">
        <v>141.6</v>
      </c>
      <c r="F242">
        <v>122</v>
      </c>
      <c r="G242">
        <v>135.5</v>
      </c>
      <c r="H242">
        <v>95.55</v>
      </c>
      <c r="Q242">
        <v>6.5120115037576407E-2</v>
      </c>
      <c r="R242">
        <v>5.6428599051746499E-2</v>
      </c>
      <c r="S242">
        <v>7.2252790633661398E-2</v>
      </c>
      <c r="T242">
        <v>6.5156184526433097E-2</v>
      </c>
      <c r="U242">
        <v>7.75409887273774E-2</v>
      </c>
      <c r="V242">
        <v>0.28374953424654797</v>
      </c>
      <c r="W242">
        <v>6.6384069314063696E-2</v>
      </c>
    </row>
    <row r="243" spans="1:26" x14ac:dyDescent="0.4">
      <c r="A243" s="1">
        <v>45673</v>
      </c>
      <c r="B243">
        <v>233.5</v>
      </c>
      <c r="C243">
        <v>179.7</v>
      </c>
      <c r="D243">
        <v>165.3</v>
      </c>
      <c r="E243">
        <v>141.19999999999999</v>
      </c>
      <c r="F243">
        <v>122</v>
      </c>
      <c r="G243">
        <v>134.69999999999999</v>
      </c>
      <c r="H243">
        <v>96</v>
      </c>
      <c r="Q243">
        <v>6.9144689597536294E-2</v>
      </c>
      <c r="R243">
        <v>6.5039027279916506E-2</v>
      </c>
      <c r="S243">
        <v>7.58822823672229E-2</v>
      </c>
      <c r="T243">
        <v>6.9124164917297795E-2</v>
      </c>
      <c r="U243">
        <v>7.8379654014551395E-2</v>
      </c>
      <c r="V243">
        <v>0.2929635486024621</v>
      </c>
      <c r="W243">
        <v>6.46250811355117E-2</v>
      </c>
    </row>
    <row r="244" spans="1:26" x14ac:dyDescent="0.4">
      <c r="A244" s="1">
        <v>45674</v>
      </c>
      <c r="B244">
        <v>233.5</v>
      </c>
      <c r="C244">
        <v>180.65</v>
      </c>
      <c r="D244">
        <v>165.55</v>
      </c>
      <c r="E244">
        <v>141.5</v>
      </c>
      <c r="F244">
        <v>121.9</v>
      </c>
      <c r="G244">
        <v>134.65</v>
      </c>
      <c r="H244">
        <v>95</v>
      </c>
      <c r="Q244">
        <v>6.9836747820473194E-2</v>
      </c>
      <c r="R244">
        <v>6.0047339329174998E-2</v>
      </c>
      <c r="S244">
        <v>7.5580614752922007E-2</v>
      </c>
      <c r="T244">
        <v>6.8095154948390496E-2</v>
      </c>
      <c r="U244">
        <v>7.9247695852199401E-2</v>
      </c>
      <c r="V244">
        <v>0.29448559202354641</v>
      </c>
      <c r="W244">
        <v>7.1363994443273696E-2</v>
      </c>
    </row>
    <row r="245" spans="1:26" x14ac:dyDescent="0.4">
      <c r="A245" s="1">
        <v>45677</v>
      </c>
      <c r="B245">
        <v>234.5</v>
      </c>
      <c r="C245">
        <v>181.85</v>
      </c>
      <c r="D245">
        <v>166.3</v>
      </c>
      <c r="E245">
        <v>141.80000000000001</v>
      </c>
      <c r="F245">
        <v>122</v>
      </c>
      <c r="G245">
        <v>135.05000000000001</v>
      </c>
      <c r="H245">
        <v>95.99</v>
      </c>
      <c r="I245">
        <v>101.2</v>
      </c>
      <c r="Q245">
        <v>6.8800628627216906E-2</v>
      </c>
      <c r="R245">
        <v>5.56030661374705E-2</v>
      </c>
      <c r="S245">
        <v>7.4678395896064106E-2</v>
      </c>
      <c r="T245">
        <v>6.8737344611209103E-2</v>
      </c>
      <c r="U245">
        <v>8.0273287701894597E-2</v>
      </c>
      <c r="V245">
        <v>0.29333124573203462</v>
      </c>
      <c r="W245">
        <v>6.69107604795528E-2</v>
      </c>
      <c r="X245">
        <v>0.2784465330467184</v>
      </c>
    </row>
    <row r="246" spans="1:26" x14ac:dyDescent="0.4">
      <c r="A246" s="1">
        <v>45678</v>
      </c>
      <c r="B246">
        <v>235.05</v>
      </c>
      <c r="C246">
        <v>181.75</v>
      </c>
      <c r="D246">
        <v>166.4</v>
      </c>
      <c r="E246">
        <v>142.55000000000001</v>
      </c>
      <c r="F246">
        <v>122.1</v>
      </c>
      <c r="G246">
        <v>135.4</v>
      </c>
      <c r="H246">
        <v>96.5</v>
      </c>
      <c r="I246">
        <v>101.65</v>
      </c>
      <c r="Q246">
        <v>6.7780261008840603E-2</v>
      </c>
      <c r="R246">
        <v>5.7302109193905701E-2</v>
      </c>
      <c r="S246">
        <v>7.4881542223905903E-2</v>
      </c>
      <c r="T246">
        <v>6.4909518672806005E-2</v>
      </c>
      <c r="U246">
        <v>8.0351205418341301E-2</v>
      </c>
      <c r="V246">
        <v>0.29067413427983763</v>
      </c>
      <c r="W246">
        <v>6.4329073282601998E-2</v>
      </c>
      <c r="X246">
        <v>0.27515944505118028</v>
      </c>
    </row>
    <row r="247" spans="1:26" x14ac:dyDescent="0.4">
      <c r="A247" s="1">
        <v>45679</v>
      </c>
      <c r="B247">
        <v>235.5</v>
      </c>
      <c r="C247">
        <v>182</v>
      </c>
      <c r="D247">
        <v>166.9</v>
      </c>
      <c r="E247">
        <v>142.75</v>
      </c>
      <c r="F247">
        <v>122.25</v>
      </c>
      <c r="G247">
        <v>134.9</v>
      </c>
      <c r="H247">
        <v>96</v>
      </c>
      <c r="I247">
        <v>100.6</v>
      </c>
      <c r="Q247">
        <v>6.7072313011070195E-2</v>
      </c>
      <c r="R247">
        <v>5.6772999698606198E-2</v>
      </c>
      <c r="S247">
        <v>7.3744422171751103E-2</v>
      </c>
      <c r="T247">
        <v>6.4500357494556196E-2</v>
      </c>
      <c r="U247">
        <v>8.0230369049362704E-2</v>
      </c>
      <c r="V247">
        <v>0.2969533509274051</v>
      </c>
      <c r="W247">
        <v>6.7972997230845295E-2</v>
      </c>
      <c r="X247">
        <v>0.28488427370575009</v>
      </c>
    </row>
    <row r="248" spans="1:26" x14ac:dyDescent="0.4">
      <c r="A248" s="1">
        <v>45680</v>
      </c>
      <c r="B248">
        <v>236</v>
      </c>
      <c r="C248">
        <v>182.5</v>
      </c>
      <c r="D248">
        <v>167.2</v>
      </c>
      <c r="E248">
        <v>143</v>
      </c>
      <c r="F248">
        <v>122.7</v>
      </c>
      <c r="G248">
        <v>135.4</v>
      </c>
      <c r="H248">
        <v>96.75</v>
      </c>
      <c r="I248">
        <v>100.8</v>
      </c>
      <c r="Q248">
        <v>6.6209287387438004E-2</v>
      </c>
      <c r="R248">
        <v>5.4645405281645298E-2</v>
      </c>
      <c r="S248">
        <v>7.3278475475793997E-2</v>
      </c>
      <c r="T248">
        <v>6.3781135847003498E-2</v>
      </c>
      <c r="U248">
        <v>7.8916315248083693E-2</v>
      </c>
      <c r="V248">
        <v>0.29269617320181412</v>
      </c>
      <c r="W248">
        <v>6.3906947833521494E-2</v>
      </c>
      <c r="X248">
        <v>0.28374404195400871</v>
      </c>
    </row>
    <row r="249" spans="1:26" x14ac:dyDescent="0.4">
      <c r="A249" s="1">
        <v>45681</v>
      </c>
      <c r="B249">
        <v>237.25</v>
      </c>
      <c r="C249">
        <v>185.95</v>
      </c>
      <c r="D249">
        <v>168.5</v>
      </c>
      <c r="E249">
        <v>145.25</v>
      </c>
      <c r="F249">
        <v>123.7</v>
      </c>
      <c r="G249">
        <v>137.05000000000001</v>
      </c>
      <c r="H249">
        <v>96</v>
      </c>
      <c r="I249">
        <v>101.55</v>
      </c>
      <c r="Q249">
        <v>6.3023047877156402E-2</v>
      </c>
      <c r="R249">
        <v>3.4037582879918198E-2</v>
      </c>
      <c r="S249">
        <v>6.9486512046250698E-2</v>
      </c>
      <c r="T249">
        <v>5.0821291865347999E-2</v>
      </c>
      <c r="U249">
        <v>7.5437457606699995E-2</v>
      </c>
      <c r="V249">
        <v>0.27647599405542328</v>
      </c>
      <c r="W249">
        <v>6.9105138007022393E-2</v>
      </c>
      <c r="X249">
        <v>0.27780911346941289</v>
      </c>
    </row>
    <row r="250" spans="1:26" x14ac:dyDescent="0.4">
      <c r="A250" s="1">
        <v>45684</v>
      </c>
      <c r="B250">
        <v>237.5</v>
      </c>
      <c r="C250">
        <v>184.1</v>
      </c>
      <c r="D250">
        <v>168.75</v>
      </c>
      <c r="E250">
        <v>144.44999999999999</v>
      </c>
      <c r="F250">
        <v>123.2</v>
      </c>
      <c r="G250">
        <v>137.15</v>
      </c>
      <c r="H250">
        <v>96.5</v>
      </c>
      <c r="I250">
        <v>101.6</v>
      </c>
      <c r="Q250">
        <v>6.4315225273408994E-2</v>
      </c>
      <c r="R250">
        <v>4.86753550223753E-2</v>
      </c>
      <c r="S250">
        <v>7.0255979444084002E-2</v>
      </c>
      <c r="T250">
        <v>5.8121947378872697E-2</v>
      </c>
      <c r="U250">
        <v>7.8836696063983094E-2</v>
      </c>
      <c r="V250">
        <v>0.27833945145866751</v>
      </c>
      <c r="W250">
        <v>6.7699423206197595E-2</v>
      </c>
      <c r="X250">
        <v>0.27918425348506021</v>
      </c>
    </row>
    <row r="251" spans="1:26" x14ac:dyDescent="0.4">
      <c r="A251" s="1">
        <v>45685</v>
      </c>
      <c r="B251">
        <v>239</v>
      </c>
      <c r="C251">
        <v>184.3</v>
      </c>
      <c r="D251">
        <v>169.2</v>
      </c>
      <c r="E251">
        <v>144.69999999999999</v>
      </c>
      <c r="F251">
        <v>123.55</v>
      </c>
      <c r="G251">
        <v>137</v>
      </c>
      <c r="H251">
        <v>96.91</v>
      </c>
      <c r="I251">
        <v>101.65</v>
      </c>
      <c r="Q251">
        <v>6.0359606567384899E-2</v>
      </c>
      <c r="R251">
        <v>4.8453467967352302E-2</v>
      </c>
      <c r="S251">
        <v>6.9296300461966706E-2</v>
      </c>
      <c r="T251">
        <v>5.7402089495652203E-2</v>
      </c>
      <c r="U251">
        <v>7.7924471718405997E-2</v>
      </c>
      <c r="V251">
        <v>0.2808887404398816</v>
      </c>
      <c r="W251">
        <v>6.5723736384895703E-2</v>
      </c>
      <c r="X251">
        <v>0.27935490705405458</v>
      </c>
    </row>
    <row r="252" spans="1:26" x14ac:dyDescent="0.4">
      <c r="A252" s="1">
        <v>45686</v>
      </c>
      <c r="B252">
        <v>239.2</v>
      </c>
      <c r="C252">
        <v>184.35</v>
      </c>
      <c r="D252">
        <v>169.45</v>
      </c>
      <c r="E252">
        <v>144.69999999999999</v>
      </c>
      <c r="F252">
        <v>123.3</v>
      </c>
      <c r="G252">
        <v>136.80000000000001</v>
      </c>
      <c r="H252">
        <v>97.9</v>
      </c>
      <c r="I252">
        <v>101.2</v>
      </c>
      <c r="Q252">
        <v>6.0426944957698001E-2</v>
      </c>
      <c r="R252">
        <v>4.9190969913232199E-2</v>
      </c>
      <c r="S252">
        <v>6.9001044940960099E-2</v>
      </c>
      <c r="T252">
        <v>5.8224420956771501E-2</v>
      </c>
      <c r="U252">
        <v>7.9396655980014094E-2</v>
      </c>
      <c r="V252">
        <v>0.2839885758978945</v>
      </c>
      <c r="W252">
        <v>6.0201044045062699E-2</v>
      </c>
      <c r="X252">
        <v>0.28392517092465702</v>
      </c>
    </row>
    <row r="253" spans="1:26" x14ac:dyDescent="0.4">
      <c r="A253" s="1">
        <v>45687</v>
      </c>
      <c r="B253">
        <v>238.6</v>
      </c>
      <c r="C253">
        <v>184.65</v>
      </c>
      <c r="D253">
        <v>169.4</v>
      </c>
      <c r="E253">
        <v>144.65</v>
      </c>
      <c r="F253">
        <v>123.45</v>
      </c>
      <c r="G253">
        <v>136.35</v>
      </c>
      <c r="H253">
        <v>97.88</v>
      </c>
      <c r="I253">
        <v>101.2</v>
      </c>
      <c r="J253">
        <v>102.9</v>
      </c>
      <c r="K253">
        <v>102.5</v>
      </c>
      <c r="Q253">
        <v>6.3044741939571894E-2</v>
      </c>
      <c r="R253">
        <v>4.8441603393884397E-2</v>
      </c>
      <c r="S253">
        <v>6.9755224290639101E-2</v>
      </c>
      <c r="T253">
        <v>5.9446277463369397E-2</v>
      </c>
      <c r="U253">
        <v>7.9325796855919797E-2</v>
      </c>
      <c r="V253">
        <v>0.28978210710112018</v>
      </c>
      <c r="W253">
        <v>6.0934856431840302E-2</v>
      </c>
      <c r="X253">
        <v>0.28454718404862128</v>
      </c>
      <c r="Y253">
        <v>0.34450410727056402</v>
      </c>
      <c r="Z253">
        <v>0.3374545425277316</v>
      </c>
    </row>
    <row r="254" spans="1:26" x14ac:dyDescent="0.4">
      <c r="A254" s="1">
        <v>45688</v>
      </c>
      <c r="B254">
        <v>239.4</v>
      </c>
      <c r="C254">
        <v>186.5</v>
      </c>
      <c r="D254">
        <v>169.4</v>
      </c>
      <c r="E254">
        <v>144.69999999999999</v>
      </c>
      <c r="F254">
        <v>123.55</v>
      </c>
      <c r="G254">
        <v>137.25</v>
      </c>
      <c r="H254">
        <v>98.98</v>
      </c>
      <c r="I254">
        <v>101.6</v>
      </c>
      <c r="J254">
        <v>102.65</v>
      </c>
      <c r="K254">
        <v>102.4</v>
      </c>
      <c r="Q254">
        <v>6.1323552616450699E-2</v>
      </c>
      <c r="R254">
        <v>3.78390447813651E-2</v>
      </c>
      <c r="S254">
        <v>7.0345547204407902E-2</v>
      </c>
      <c r="T254">
        <v>6.0052873102662399E-2</v>
      </c>
      <c r="U254">
        <v>7.9454673309814303E-2</v>
      </c>
      <c r="V254">
        <v>0.28123650806809591</v>
      </c>
      <c r="W254">
        <v>5.4865334738164503E-2</v>
      </c>
      <c r="X254">
        <v>0.28163291678592589</v>
      </c>
      <c r="Y254">
        <v>0.34708853132036321</v>
      </c>
      <c r="Z254">
        <v>0.33983196197019178</v>
      </c>
    </row>
    <row r="255" spans="1:26" x14ac:dyDescent="0.4">
      <c r="A255" s="1">
        <v>45691</v>
      </c>
      <c r="B255">
        <v>239.5</v>
      </c>
      <c r="C255">
        <v>185.25</v>
      </c>
      <c r="D255">
        <v>169.2</v>
      </c>
      <c r="E255">
        <v>144.6</v>
      </c>
      <c r="F255">
        <v>124.1</v>
      </c>
      <c r="G255">
        <v>136.65</v>
      </c>
      <c r="H255">
        <v>97.7</v>
      </c>
      <c r="I255">
        <v>101.55</v>
      </c>
      <c r="J255">
        <v>102.25</v>
      </c>
      <c r="K255">
        <v>102.2</v>
      </c>
      <c r="Q255">
        <v>6.33079876501427E-2</v>
      </c>
      <c r="R255">
        <v>4.9303762893916497E-2</v>
      </c>
      <c r="S255">
        <v>7.2799841277540703E-2</v>
      </c>
      <c r="T255">
        <v>6.3462745880363103E-2</v>
      </c>
      <c r="U255">
        <v>7.8848589662825E-2</v>
      </c>
      <c r="V255">
        <v>0.29071060958677758</v>
      </c>
      <c r="W255">
        <v>6.4516669755925293E-2</v>
      </c>
      <c r="X255">
        <v>0.2839419683995445</v>
      </c>
      <c r="Y255">
        <v>0.35165138643540961</v>
      </c>
      <c r="Z255">
        <v>0.34506103296654389</v>
      </c>
    </row>
    <row r="256" spans="1:26" x14ac:dyDescent="0.4">
      <c r="A256" s="1">
        <v>45692</v>
      </c>
      <c r="B256">
        <v>239</v>
      </c>
      <c r="C256">
        <v>185.4</v>
      </c>
      <c r="D256">
        <v>169.5</v>
      </c>
      <c r="E256">
        <v>144.55000000000001</v>
      </c>
      <c r="F256">
        <v>124.25</v>
      </c>
      <c r="G256">
        <v>136.9</v>
      </c>
      <c r="H256">
        <v>97.2</v>
      </c>
      <c r="I256">
        <v>101.2</v>
      </c>
      <c r="J256">
        <v>102.25</v>
      </c>
      <c r="K256">
        <v>102.15</v>
      </c>
      <c r="Q256">
        <v>6.5647486175018005E-2</v>
      </c>
      <c r="R256">
        <v>4.9524613834555302E-2</v>
      </c>
      <c r="S256">
        <v>7.2392087703663205E-2</v>
      </c>
      <c r="T256">
        <v>6.4717784867068098E-2</v>
      </c>
      <c r="U256">
        <v>7.8780368918915405E-2</v>
      </c>
      <c r="V256">
        <v>0.28905585294009939</v>
      </c>
      <c r="W256">
        <v>6.8254846623342399E-2</v>
      </c>
      <c r="X256">
        <v>0.2876983880493566</v>
      </c>
      <c r="Y256">
        <v>0.34749721867589911</v>
      </c>
      <c r="Z256">
        <v>0.34185274994805381</v>
      </c>
    </row>
    <row r="257" spans="1:26" x14ac:dyDescent="0.4">
      <c r="A257" s="1">
        <v>45693</v>
      </c>
      <c r="B257">
        <v>238.85</v>
      </c>
      <c r="C257">
        <v>185.3</v>
      </c>
      <c r="D257">
        <v>169.25</v>
      </c>
      <c r="E257">
        <v>144.80000000000001</v>
      </c>
      <c r="F257">
        <v>124</v>
      </c>
      <c r="G257">
        <v>136.94999999999999</v>
      </c>
      <c r="H257">
        <v>97.16</v>
      </c>
      <c r="I257">
        <v>101.3</v>
      </c>
      <c r="J257">
        <v>102</v>
      </c>
      <c r="K257">
        <v>102.1</v>
      </c>
      <c r="Q257">
        <v>6.6899850493168003E-2</v>
      </c>
      <c r="R257">
        <v>5.1377088373029997E-2</v>
      </c>
      <c r="S257">
        <v>7.3833461031530198E-2</v>
      </c>
      <c r="T257">
        <v>6.4082798104831806E-2</v>
      </c>
      <c r="U257">
        <v>8.0309245639432994E-2</v>
      </c>
      <c r="V257">
        <v>0.28956025341113978</v>
      </c>
      <c r="W257">
        <v>6.9140271782994506E-2</v>
      </c>
      <c r="X257">
        <v>0.287439109182694</v>
      </c>
      <c r="Y257">
        <v>0.34806706532916171</v>
      </c>
      <c r="Z257">
        <v>0.3416293690480432</v>
      </c>
    </row>
    <row r="258" spans="1:26" x14ac:dyDescent="0.4">
      <c r="A258" s="1">
        <v>45694</v>
      </c>
      <c r="B258">
        <v>239.4</v>
      </c>
      <c r="C258">
        <v>185.3</v>
      </c>
      <c r="D258">
        <v>169.4</v>
      </c>
      <c r="E258">
        <v>144.75</v>
      </c>
      <c r="F258">
        <v>124.25</v>
      </c>
      <c r="G258">
        <v>137.4</v>
      </c>
      <c r="H258">
        <v>98.9</v>
      </c>
      <c r="I258">
        <v>101.65</v>
      </c>
      <c r="J258">
        <v>102.15</v>
      </c>
      <c r="K258">
        <v>102.2</v>
      </c>
      <c r="Q258">
        <v>6.5948991737736495E-2</v>
      </c>
      <c r="R258">
        <v>5.2589302913334302E-2</v>
      </c>
      <c r="S258">
        <v>7.39313994757229E-2</v>
      </c>
      <c r="T258">
        <v>6.5345847491807205E-2</v>
      </c>
      <c r="U258">
        <v>7.9842444079990596E-2</v>
      </c>
      <c r="V258">
        <v>0.28573580539382493</v>
      </c>
      <c r="W258">
        <v>5.8999186438658598E-2</v>
      </c>
      <c r="X258">
        <v>0.28493993174761589</v>
      </c>
      <c r="Y258">
        <v>0.34760845983261601</v>
      </c>
      <c r="Z258">
        <v>0.34143450366757672</v>
      </c>
    </row>
    <row r="259" spans="1:26" x14ac:dyDescent="0.4">
      <c r="A259" s="1">
        <v>45695</v>
      </c>
      <c r="B259">
        <v>240.25</v>
      </c>
      <c r="C259">
        <v>185.75</v>
      </c>
      <c r="D259">
        <v>169.75</v>
      </c>
      <c r="E259">
        <v>145.44999999999999</v>
      </c>
      <c r="F259">
        <v>124.9</v>
      </c>
      <c r="G259">
        <v>137.65</v>
      </c>
      <c r="H259">
        <v>97.99</v>
      </c>
      <c r="I259">
        <v>101.6</v>
      </c>
      <c r="J259">
        <v>102.15</v>
      </c>
      <c r="K259">
        <v>102.15</v>
      </c>
      <c r="Q259">
        <v>6.4056504637799702E-2</v>
      </c>
      <c r="R259">
        <v>5.0855874689839202E-2</v>
      </c>
      <c r="S259">
        <v>7.3355908477080595E-2</v>
      </c>
      <c r="T259">
        <v>6.1866617817439302E-2</v>
      </c>
      <c r="U259">
        <v>7.7783850183406902E-2</v>
      </c>
      <c r="V259">
        <v>0.28407040807800921</v>
      </c>
      <c r="W259">
        <v>6.5227629730700801E-2</v>
      </c>
      <c r="X259">
        <v>0.28602255423484019</v>
      </c>
      <c r="Y259">
        <v>0.34531761226035779</v>
      </c>
      <c r="Z259">
        <v>0.3400931684039295</v>
      </c>
    </row>
    <row r="260" spans="1:26" x14ac:dyDescent="0.4">
      <c r="A260" s="1">
        <v>45698</v>
      </c>
      <c r="B260">
        <v>239.85</v>
      </c>
      <c r="C260">
        <v>186</v>
      </c>
      <c r="D260">
        <v>170</v>
      </c>
      <c r="E260">
        <v>145.75</v>
      </c>
      <c r="F260">
        <v>125</v>
      </c>
      <c r="G260">
        <v>137</v>
      </c>
      <c r="H260">
        <v>98</v>
      </c>
      <c r="I260">
        <v>100.95</v>
      </c>
      <c r="J260">
        <v>101.95</v>
      </c>
      <c r="K260">
        <v>101.75</v>
      </c>
      <c r="Q260">
        <v>6.7674829205025003E-2</v>
      </c>
      <c r="R260">
        <v>5.2880437846138502E-2</v>
      </c>
      <c r="S260">
        <v>7.4330453460648302E-2</v>
      </c>
      <c r="T260">
        <v>6.2807133197260695E-2</v>
      </c>
      <c r="U260">
        <v>7.8981013006280201E-2</v>
      </c>
      <c r="V260">
        <v>0.29434254663842718</v>
      </c>
      <c r="W260">
        <v>6.7065802014013506E-2</v>
      </c>
      <c r="X260">
        <v>0.29385209478310093</v>
      </c>
      <c r="Y260">
        <v>0.34851063202484173</v>
      </c>
      <c r="Z260">
        <v>0.34780882822992198</v>
      </c>
    </row>
    <row r="261" spans="1:26" x14ac:dyDescent="0.4">
      <c r="A261" s="1">
        <v>45699</v>
      </c>
      <c r="B261">
        <v>240.25</v>
      </c>
      <c r="C261">
        <v>186.15</v>
      </c>
      <c r="D261">
        <v>170.3</v>
      </c>
      <c r="E261">
        <v>145.94999999999999</v>
      </c>
      <c r="F261">
        <v>124.45</v>
      </c>
      <c r="G261">
        <v>136.15</v>
      </c>
      <c r="H261">
        <v>97.88</v>
      </c>
      <c r="I261">
        <v>100.45</v>
      </c>
      <c r="J261">
        <v>101.2</v>
      </c>
      <c r="K261">
        <v>101.3</v>
      </c>
      <c r="Q261">
        <v>6.7198295092498903E-2</v>
      </c>
      <c r="R261">
        <v>5.3122992056759299E-2</v>
      </c>
      <c r="S261">
        <v>7.3925026789556897E-2</v>
      </c>
      <c r="T261">
        <v>6.2489747814302998E-2</v>
      </c>
      <c r="U261">
        <v>8.1720636967112695E-2</v>
      </c>
      <c r="V261">
        <v>0.30491961112508431</v>
      </c>
      <c r="W261">
        <v>6.8456605202415102E-2</v>
      </c>
      <c r="X261">
        <v>0.29911291297692022</v>
      </c>
      <c r="Y261">
        <v>0.35445785137428321</v>
      </c>
      <c r="Z261">
        <v>0.35423856491979172</v>
      </c>
    </row>
    <row r="262" spans="1:26" x14ac:dyDescent="0.4">
      <c r="A262" s="1">
        <v>45700</v>
      </c>
      <c r="B262">
        <v>240.35</v>
      </c>
      <c r="C262">
        <v>186.2</v>
      </c>
      <c r="D262">
        <v>170.45</v>
      </c>
      <c r="E262">
        <v>146.35</v>
      </c>
      <c r="F262">
        <v>124.85</v>
      </c>
      <c r="G262">
        <v>136.05000000000001</v>
      </c>
      <c r="H262">
        <v>98.74</v>
      </c>
      <c r="I262">
        <v>100.3</v>
      </c>
      <c r="J262">
        <v>100.95</v>
      </c>
      <c r="K262">
        <v>101</v>
      </c>
      <c r="Q262">
        <v>6.7674832274046706E-2</v>
      </c>
      <c r="R262">
        <v>5.40333652375143E-2</v>
      </c>
      <c r="S262">
        <v>7.4026987580758805E-2</v>
      </c>
      <c r="T262">
        <v>6.0904047610352202E-2</v>
      </c>
      <c r="U262">
        <v>8.0652875707199395E-2</v>
      </c>
      <c r="V262">
        <v>0.30718451328433721</v>
      </c>
      <c r="W262">
        <v>6.3725393524541499E-2</v>
      </c>
      <c r="X262">
        <v>0.30117987215200032</v>
      </c>
      <c r="Y262">
        <v>0.35305237325198979</v>
      </c>
      <c r="Z262">
        <v>0.3550328051874897</v>
      </c>
    </row>
    <row r="263" spans="1:26" x14ac:dyDescent="0.4">
      <c r="A263" s="1">
        <v>45701</v>
      </c>
      <c r="B263">
        <v>240.5</v>
      </c>
      <c r="C263">
        <v>185.6</v>
      </c>
      <c r="D263">
        <v>170.4</v>
      </c>
      <c r="E263">
        <v>146</v>
      </c>
      <c r="F263">
        <v>124.6</v>
      </c>
      <c r="G263">
        <v>136.75</v>
      </c>
      <c r="H263">
        <v>98.09</v>
      </c>
      <c r="I263">
        <v>100.9</v>
      </c>
      <c r="J263">
        <v>101.6</v>
      </c>
      <c r="K263">
        <v>101.8</v>
      </c>
      <c r="Q263">
        <v>6.7994517037149399E-2</v>
      </c>
      <c r="R263">
        <v>5.9313069598639398E-2</v>
      </c>
      <c r="S263">
        <v>7.4807045656178503E-2</v>
      </c>
      <c r="T263">
        <v>6.4085087934528204E-2</v>
      </c>
      <c r="U263">
        <v>8.2197751747882603E-2</v>
      </c>
      <c r="V263">
        <v>0.30043193123367751</v>
      </c>
      <c r="W263">
        <v>6.8421710479638798E-2</v>
      </c>
      <c r="X263">
        <v>0.2963060933224968</v>
      </c>
      <c r="Y263">
        <v>0.34782812600939972</v>
      </c>
      <c r="Z263">
        <v>0.34518699193884411</v>
      </c>
    </row>
    <row r="264" spans="1:26" x14ac:dyDescent="0.4">
      <c r="A264" s="1">
        <v>45702</v>
      </c>
      <c r="B264">
        <v>241.1</v>
      </c>
      <c r="C264">
        <v>186.6</v>
      </c>
      <c r="D264">
        <v>170.8</v>
      </c>
      <c r="E264">
        <v>146.19999999999999</v>
      </c>
      <c r="F264">
        <v>124.8</v>
      </c>
      <c r="G264">
        <v>137.6</v>
      </c>
      <c r="H264">
        <v>98.49</v>
      </c>
      <c r="I264">
        <v>101.8</v>
      </c>
      <c r="J264">
        <v>102.35</v>
      </c>
      <c r="K264">
        <v>102.8</v>
      </c>
      <c r="Q264">
        <v>6.6882729691384896E-2</v>
      </c>
      <c r="R264">
        <v>5.3865338833462E-2</v>
      </c>
      <c r="S264">
        <v>7.4064213731861006E-2</v>
      </c>
      <c r="T264">
        <v>6.3770359794267095E-2</v>
      </c>
      <c r="U264">
        <v>8.1933896462036498E-2</v>
      </c>
      <c r="V264">
        <v>0.29204037564497431</v>
      </c>
      <c r="W264">
        <v>6.6554961555176706E-2</v>
      </c>
      <c r="X264">
        <v>0.2887281339416663</v>
      </c>
      <c r="Y264">
        <v>0.34207345719395221</v>
      </c>
      <c r="Z264">
        <v>0.33321372037685409</v>
      </c>
    </row>
    <row r="265" spans="1:26" x14ac:dyDescent="0.4">
      <c r="A265" s="1">
        <v>45705</v>
      </c>
      <c r="B265">
        <v>241.6</v>
      </c>
      <c r="C265">
        <v>185.9</v>
      </c>
      <c r="D265">
        <v>170.8</v>
      </c>
      <c r="E265">
        <v>146.4</v>
      </c>
      <c r="F265">
        <v>124.85</v>
      </c>
      <c r="G265">
        <v>137.69999999999999</v>
      </c>
      <c r="H265">
        <v>98.1</v>
      </c>
      <c r="I265">
        <v>101.4</v>
      </c>
      <c r="J265">
        <v>102</v>
      </c>
      <c r="K265">
        <v>102.5</v>
      </c>
      <c r="Q265">
        <v>6.7689748612289005E-2</v>
      </c>
      <c r="R265">
        <v>6.2437923045311802E-2</v>
      </c>
      <c r="S265">
        <v>7.5908298193030396E-2</v>
      </c>
      <c r="T265">
        <v>6.53959002148157E-2</v>
      </c>
      <c r="U265">
        <v>8.3364603996605099E-2</v>
      </c>
      <c r="V265">
        <v>0.29421908426859039</v>
      </c>
      <c r="W265">
        <v>7.0950281300418597E-2</v>
      </c>
      <c r="X265">
        <v>0.29437748073944808</v>
      </c>
      <c r="Y265">
        <v>0.34634389335100518</v>
      </c>
      <c r="Z265">
        <v>0.33974232300808421</v>
      </c>
    </row>
    <row r="266" spans="1:26" x14ac:dyDescent="0.4">
      <c r="A266" s="1">
        <v>45706</v>
      </c>
      <c r="B266">
        <v>241.4</v>
      </c>
      <c r="C266">
        <v>186.5</v>
      </c>
      <c r="D266">
        <v>171.15</v>
      </c>
      <c r="E266">
        <v>146.44999999999999</v>
      </c>
      <c r="F266">
        <v>124.9</v>
      </c>
      <c r="G266">
        <v>138.05000000000001</v>
      </c>
      <c r="H266">
        <v>98.4</v>
      </c>
      <c r="I266">
        <v>102</v>
      </c>
      <c r="J266">
        <v>102.75</v>
      </c>
      <c r="K266">
        <v>103.25</v>
      </c>
      <c r="Q266">
        <v>6.91366658921026E-2</v>
      </c>
      <c r="R266">
        <v>5.9643706960310502E-2</v>
      </c>
      <c r="S266">
        <v>7.5335149231910106E-2</v>
      </c>
      <c r="T266">
        <v>6.60517503732303E-2</v>
      </c>
      <c r="U266">
        <v>8.3709431022616895E-2</v>
      </c>
      <c r="V266">
        <v>0.29139230428675611</v>
      </c>
      <c r="W266">
        <v>6.9703145154483101E-2</v>
      </c>
      <c r="X266">
        <v>0.28952715405291718</v>
      </c>
      <c r="Y266">
        <v>0.3416147447451382</v>
      </c>
      <c r="Z266">
        <v>0.33177535250609658</v>
      </c>
    </row>
    <row r="267" spans="1:26" x14ac:dyDescent="0.4">
      <c r="A267" s="1">
        <v>45707</v>
      </c>
      <c r="B267">
        <v>241.4</v>
      </c>
      <c r="C267">
        <v>186.7</v>
      </c>
      <c r="D267">
        <v>171</v>
      </c>
      <c r="E267">
        <v>146.25</v>
      </c>
      <c r="F267">
        <v>124.9</v>
      </c>
      <c r="G267">
        <v>137.75</v>
      </c>
      <c r="H267">
        <v>98.19</v>
      </c>
      <c r="I267">
        <v>101.9</v>
      </c>
      <c r="J267">
        <v>102.55</v>
      </c>
      <c r="K267">
        <v>103.05</v>
      </c>
      <c r="Q267">
        <v>6.9947935920246104E-2</v>
      </c>
      <c r="R267">
        <v>5.9577987842469801E-2</v>
      </c>
      <c r="S267">
        <v>7.6465587066724794E-2</v>
      </c>
      <c r="T267">
        <v>6.8331872243093297E-2</v>
      </c>
      <c r="U267">
        <v>8.4258130446548493E-2</v>
      </c>
      <c r="V267">
        <v>0.29588714602477051</v>
      </c>
      <c r="W267">
        <v>7.1688383787378407E-2</v>
      </c>
      <c r="X267">
        <v>0.29110724587188003</v>
      </c>
      <c r="Y267">
        <v>0.34264526435317622</v>
      </c>
      <c r="Z267">
        <v>0.33414135099466641</v>
      </c>
    </row>
    <row r="268" spans="1:26" x14ac:dyDescent="0.4">
      <c r="A268" s="1">
        <v>45708</v>
      </c>
      <c r="B268">
        <v>240.7</v>
      </c>
      <c r="C268">
        <v>186.55</v>
      </c>
      <c r="D268">
        <v>170.3</v>
      </c>
      <c r="E268">
        <v>145.85</v>
      </c>
      <c r="F268">
        <v>124.8</v>
      </c>
      <c r="G268">
        <v>137.69999999999999</v>
      </c>
      <c r="H268">
        <v>97.8</v>
      </c>
      <c r="I268">
        <v>101.8</v>
      </c>
      <c r="J268">
        <v>102.65</v>
      </c>
      <c r="K268">
        <v>103.05</v>
      </c>
      <c r="Q268">
        <v>7.3026927957449805E-2</v>
      </c>
      <c r="R268">
        <v>6.1915193200598601E-2</v>
      </c>
      <c r="S268">
        <v>7.9489404675015904E-2</v>
      </c>
      <c r="T268">
        <v>7.1938125596678504E-2</v>
      </c>
      <c r="U268">
        <v>8.5215381946084204E-2</v>
      </c>
      <c r="V268">
        <v>0.29758374022987838</v>
      </c>
      <c r="W268">
        <v>7.4839191001060096E-2</v>
      </c>
      <c r="X268">
        <v>0.29269657519237963</v>
      </c>
      <c r="Y268">
        <v>0.3416955116180484</v>
      </c>
      <c r="Z268">
        <v>0.33427745049689322</v>
      </c>
    </row>
    <row r="269" spans="1:26" x14ac:dyDescent="0.4">
      <c r="A269" s="1">
        <v>45709</v>
      </c>
      <c r="B269">
        <v>240.3</v>
      </c>
      <c r="C269">
        <v>186.5</v>
      </c>
      <c r="D269">
        <v>170.1</v>
      </c>
      <c r="E269">
        <v>145.85</v>
      </c>
      <c r="F269">
        <v>124.85</v>
      </c>
      <c r="G269">
        <v>137.65</v>
      </c>
      <c r="H269">
        <v>97.25</v>
      </c>
      <c r="I269">
        <v>101.75</v>
      </c>
      <c r="J269">
        <v>102.6</v>
      </c>
      <c r="K269">
        <v>103</v>
      </c>
      <c r="Q269">
        <v>7.5154717617776298E-2</v>
      </c>
      <c r="R269">
        <v>6.3582531810249199E-2</v>
      </c>
      <c r="S269">
        <v>8.0809251041147695E-2</v>
      </c>
      <c r="T269">
        <v>7.2946310637283407E-2</v>
      </c>
      <c r="U269">
        <v>8.5564405252156306E-2</v>
      </c>
      <c r="V269">
        <v>0.29929421065785661</v>
      </c>
      <c r="W269">
        <v>7.9055732765517306E-2</v>
      </c>
      <c r="X269">
        <v>0.2938316922410234</v>
      </c>
      <c r="Y269">
        <v>0.34178288311953842</v>
      </c>
      <c r="Z269">
        <v>0.33498772610293931</v>
      </c>
    </row>
    <row r="270" spans="1:26" x14ac:dyDescent="0.4">
      <c r="A270" s="1">
        <v>45712</v>
      </c>
      <c r="B270">
        <v>239.7</v>
      </c>
      <c r="C270">
        <v>186.15</v>
      </c>
      <c r="D270">
        <v>169.7</v>
      </c>
      <c r="E270">
        <v>145.75</v>
      </c>
      <c r="F270">
        <v>124.3</v>
      </c>
      <c r="G270">
        <v>137.19999999999999</v>
      </c>
      <c r="H270">
        <v>96.53</v>
      </c>
      <c r="I270">
        <v>101.55</v>
      </c>
      <c r="J270">
        <v>102.4</v>
      </c>
      <c r="K270">
        <v>103.1</v>
      </c>
      <c r="Q270">
        <v>7.9643313661415596E-2</v>
      </c>
      <c r="R270">
        <v>7.0075475280177699E-2</v>
      </c>
      <c r="S270">
        <v>8.4108977920612699E-2</v>
      </c>
      <c r="T270">
        <v>7.6671386905733704E-2</v>
      </c>
      <c r="U270">
        <v>8.9493565864943794E-2</v>
      </c>
      <c r="V270">
        <v>0.30800419323795442</v>
      </c>
      <c r="W270">
        <v>8.5821665853584306E-2</v>
      </c>
      <c r="X270">
        <v>0.2977405228819886</v>
      </c>
      <c r="Y270">
        <v>0.34411916231893741</v>
      </c>
      <c r="Z270">
        <v>0.33586776967069337</v>
      </c>
    </row>
    <row r="271" spans="1:26" x14ac:dyDescent="0.4">
      <c r="A271" s="1">
        <v>45713</v>
      </c>
      <c r="B271">
        <v>239.9</v>
      </c>
      <c r="C271">
        <v>185.8</v>
      </c>
      <c r="D271">
        <v>170</v>
      </c>
      <c r="E271">
        <v>145.69999999999999</v>
      </c>
      <c r="F271">
        <v>124.6</v>
      </c>
      <c r="G271">
        <v>137.5</v>
      </c>
      <c r="H271">
        <v>97.2</v>
      </c>
      <c r="I271">
        <v>101.8</v>
      </c>
      <c r="J271">
        <v>102.5</v>
      </c>
      <c r="K271">
        <v>103.35</v>
      </c>
      <c r="Q271">
        <v>7.9832342066528103E-2</v>
      </c>
      <c r="R271">
        <v>7.3934114021749403E-2</v>
      </c>
      <c r="S271">
        <v>8.37042529866171E-2</v>
      </c>
      <c r="T271">
        <v>7.8039811347292098E-2</v>
      </c>
      <c r="U271">
        <v>8.8819682108749798E-2</v>
      </c>
      <c r="V271">
        <v>0.30569463769581912</v>
      </c>
      <c r="W271">
        <v>8.2105139426642701E-2</v>
      </c>
      <c r="X271">
        <v>0.29608748948411812</v>
      </c>
      <c r="Y271">
        <v>0.34238981256162038</v>
      </c>
      <c r="Z271">
        <v>0.33218937034727269</v>
      </c>
    </row>
    <row r="272" spans="1:26" x14ac:dyDescent="0.4">
      <c r="A272" s="1">
        <v>45714</v>
      </c>
      <c r="B272">
        <v>240.15</v>
      </c>
      <c r="C272">
        <v>186</v>
      </c>
      <c r="D272">
        <v>170.25</v>
      </c>
      <c r="E272">
        <v>145.69999999999999</v>
      </c>
      <c r="F272">
        <v>124.75</v>
      </c>
      <c r="G272">
        <v>137.65</v>
      </c>
      <c r="H272">
        <v>97.5</v>
      </c>
      <c r="I272">
        <v>101.5</v>
      </c>
      <c r="J272">
        <v>102.15</v>
      </c>
      <c r="K272">
        <v>103.25</v>
      </c>
      <c r="Q272">
        <v>7.9857040534788704E-2</v>
      </c>
      <c r="R272">
        <v>7.3909705538325807E-2</v>
      </c>
      <c r="S272">
        <v>8.3474508742455295E-2</v>
      </c>
      <c r="T272">
        <v>7.9081744645207896E-2</v>
      </c>
      <c r="U272">
        <v>8.8764468763477794E-2</v>
      </c>
      <c r="V272">
        <v>0.3051323352043423</v>
      </c>
      <c r="W272">
        <v>8.0828704353312603E-2</v>
      </c>
      <c r="X272">
        <v>0.29959569418535009</v>
      </c>
      <c r="Y272">
        <v>0.34454224112581688</v>
      </c>
      <c r="Z272">
        <v>0.33340877812138481</v>
      </c>
    </row>
    <row r="273" spans="1:26" x14ac:dyDescent="0.4">
      <c r="A273" s="1">
        <v>45715</v>
      </c>
      <c r="B273">
        <v>238.5</v>
      </c>
      <c r="C273">
        <v>184.75</v>
      </c>
      <c r="D273">
        <v>169.2</v>
      </c>
      <c r="E273">
        <v>145</v>
      </c>
      <c r="F273">
        <v>124.5</v>
      </c>
      <c r="G273">
        <v>136.5</v>
      </c>
      <c r="H273">
        <v>96</v>
      </c>
      <c r="I273">
        <v>100.65</v>
      </c>
      <c r="J273">
        <v>100.7</v>
      </c>
      <c r="K273">
        <v>102.3</v>
      </c>
      <c r="Q273">
        <v>8.6222610710138106E-2</v>
      </c>
      <c r="R273">
        <v>8.4323424916066203E-2</v>
      </c>
      <c r="S273">
        <v>8.78050191646048E-2</v>
      </c>
      <c r="T273">
        <v>8.4857515760197802E-2</v>
      </c>
      <c r="U273">
        <v>9.0361094181463E-2</v>
      </c>
      <c r="V273">
        <v>0.31995610867718671</v>
      </c>
      <c r="W273">
        <v>9.1456160089073396E-2</v>
      </c>
      <c r="X273">
        <v>0.30838564265498308</v>
      </c>
      <c r="Y273">
        <v>0.3546689624458747</v>
      </c>
      <c r="Z273">
        <v>0.34498483402255181</v>
      </c>
    </row>
    <row r="274" spans="1:26" x14ac:dyDescent="0.4">
      <c r="A274" s="1">
        <v>45716</v>
      </c>
      <c r="B274">
        <v>239.7</v>
      </c>
      <c r="C274">
        <v>186.7</v>
      </c>
      <c r="D274">
        <v>171.75</v>
      </c>
      <c r="E274">
        <v>145.5</v>
      </c>
      <c r="F274">
        <v>124.9</v>
      </c>
      <c r="G274">
        <v>136.69999999999999</v>
      </c>
      <c r="H274">
        <v>96.76</v>
      </c>
      <c r="I274">
        <v>100.55</v>
      </c>
      <c r="J274">
        <v>100.45</v>
      </c>
      <c r="K274">
        <v>102.3</v>
      </c>
      <c r="Q274">
        <v>8.3071882411547796E-2</v>
      </c>
      <c r="R274">
        <v>7.1723902068141193E-2</v>
      </c>
      <c r="S274">
        <v>7.9546823115418497E-2</v>
      </c>
      <c r="T274">
        <v>8.2535830554719705E-2</v>
      </c>
      <c r="U274">
        <v>8.9274356544769798E-2</v>
      </c>
      <c r="V274">
        <v>0.31882103424268687</v>
      </c>
      <c r="W274">
        <v>8.7088611193324297E-2</v>
      </c>
      <c r="X274">
        <v>0.3100702907171769</v>
      </c>
      <c r="Y274">
        <v>0.35614342230558371</v>
      </c>
      <c r="Z274">
        <v>0.34499842094789679</v>
      </c>
    </row>
    <row r="275" spans="1:26" x14ac:dyDescent="0.4">
      <c r="A275" s="1">
        <v>45721</v>
      </c>
      <c r="B275">
        <v>238.6</v>
      </c>
      <c r="C275">
        <v>185.7</v>
      </c>
      <c r="D275">
        <v>169.35</v>
      </c>
      <c r="E275">
        <v>145.25</v>
      </c>
      <c r="F275">
        <v>124</v>
      </c>
      <c r="G275">
        <v>136.19999999999999</v>
      </c>
      <c r="H275">
        <v>96.79</v>
      </c>
      <c r="I275">
        <v>99.9</v>
      </c>
      <c r="J275">
        <v>99.9</v>
      </c>
      <c r="K275">
        <v>101.5</v>
      </c>
      <c r="Q275">
        <v>9.0927553719425402E-2</v>
      </c>
      <c r="R275">
        <v>8.5759737885094403E-2</v>
      </c>
      <c r="S275">
        <v>9.1029523805596799E-2</v>
      </c>
      <c r="T275">
        <v>8.9323957874652707E-2</v>
      </c>
      <c r="U275">
        <v>9.5718834755128004E-2</v>
      </c>
      <c r="V275">
        <v>0.33138784424497841</v>
      </c>
      <c r="W275">
        <v>9.0214766142458297E-2</v>
      </c>
      <c r="X275">
        <v>0.32012489669781941</v>
      </c>
      <c r="Y275">
        <v>0.36131900422300117</v>
      </c>
      <c r="Z275">
        <v>0.35826970048104201</v>
      </c>
    </row>
    <row r="276" spans="1:26" x14ac:dyDescent="0.4">
      <c r="A276" s="1">
        <v>45722</v>
      </c>
      <c r="B276">
        <v>238.9</v>
      </c>
      <c r="C276">
        <v>185.65</v>
      </c>
      <c r="D276">
        <v>168.95</v>
      </c>
      <c r="E276">
        <v>145</v>
      </c>
      <c r="F276">
        <v>123.75</v>
      </c>
      <c r="G276">
        <v>134.80000000000001</v>
      </c>
      <c r="H276">
        <v>96.8</v>
      </c>
      <c r="I276">
        <v>98.25</v>
      </c>
      <c r="J276">
        <v>97.6</v>
      </c>
      <c r="K276">
        <v>100.4</v>
      </c>
      <c r="Q276">
        <v>9.0733596045142403E-2</v>
      </c>
      <c r="R276">
        <v>8.7516058087402995E-2</v>
      </c>
      <c r="S276">
        <v>9.3079422217844598E-2</v>
      </c>
      <c r="T276">
        <v>9.2080118301861094E-2</v>
      </c>
      <c r="U276">
        <v>9.73131428218688E-2</v>
      </c>
      <c r="V276">
        <v>0.35030009796691458</v>
      </c>
      <c r="W276">
        <v>9.0809728556728003E-2</v>
      </c>
      <c r="X276">
        <v>0.33745506400600001</v>
      </c>
      <c r="Y276">
        <v>0.37905311627108051</v>
      </c>
      <c r="Z276">
        <v>0.37302659184450349</v>
      </c>
    </row>
    <row r="277" spans="1:26" x14ac:dyDescent="0.4">
      <c r="A277" s="1">
        <v>45723</v>
      </c>
      <c r="B277">
        <v>238.95</v>
      </c>
      <c r="C277">
        <v>185.85</v>
      </c>
      <c r="D277">
        <v>169.1</v>
      </c>
      <c r="E277">
        <v>145.5</v>
      </c>
      <c r="F277">
        <v>123.25</v>
      </c>
      <c r="G277">
        <v>135.94999999999999</v>
      </c>
      <c r="H277">
        <v>96.15</v>
      </c>
      <c r="I277">
        <v>98.5</v>
      </c>
      <c r="J277">
        <v>98.5</v>
      </c>
      <c r="K277">
        <v>101.2</v>
      </c>
      <c r="Q277">
        <v>9.1395733439479293E-2</v>
      </c>
      <c r="R277">
        <v>8.7424081646852794E-2</v>
      </c>
      <c r="S277">
        <v>9.3162596174378901E-2</v>
      </c>
      <c r="T277">
        <v>8.9636557976246395E-2</v>
      </c>
      <c r="U277">
        <v>9.9979825128975505E-2</v>
      </c>
      <c r="V277">
        <v>0.33720519779534092</v>
      </c>
      <c r="W277">
        <v>9.5880906000253105E-2</v>
      </c>
      <c r="X277">
        <v>0.33571722805985721</v>
      </c>
      <c r="Y277">
        <v>0.37222634431760748</v>
      </c>
      <c r="Z277">
        <v>0.36322203356727473</v>
      </c>
    </row>
    <row r="278" spans="1:26" x14ac:dyDescent="0.4">
      <c r="A278" s="1">
        <v>45726</v>
      </c>
      <c r="B278">
        <v>238.3</v>
      </c>
      <c r="C278">
        <v>185.4</v>
      </c>
      <c r="D278">
        <v>167.7</v>
      </c>
      <c r="E278">
        <v>144.15</v>
      </c>
      <c r="F278">
        <v>122</v>
      </c>
      <c r="G278">
        <v>135.05000000000001</v>
      </c>
      <c r="H278">
        <v>96.5</v>
      </c>
      <c r="I278">
        <v>97.97</v>
      </c>
      <c r="J278">
        <v>97.01</v>
      </c>
      <c r="K278">
        <v>100.8</v>
      </c>
      <c r="Q278">
        <v>9.6170722998176805E-2</v>
      </c>
      <c r="R278">
        <v>9.5076650383615402E-2</v>
      </c>
      <c r="S278">
        <v>0.1001326722679476</v>
      </c>
      <c r="T278">
        <v>0.10227889066027609</v>
      </c>
      <c r="U278">
        <v>0.1070255003007417</v>
      </c>
      <c r="V278">
        <v>0.35287907500777399</v>
      </c>
      <c r="W278">
        <v>9.5526024047309893E-2</v>
      </c>
      <c r="X278">
        <v>0.3436110882724428</v>
      </c>
      <c r="Y278">
        <v>0.38598864756182383</v>
      </c>
      <c r="Z278">
        <v>0.37190399315666051</v>
      </c>
    </row>
    <row r="279" spans="1:26" x14ac:dyDescent="0.4">
      <c r="A279" s="1">
        <v>45727</v>
      </c>
      <c r="B279">
        <v>237.25</v>
      </c>
      <c r="C279">
        <v>185.65</v>
      </c>
      <c r="D279">
        <v>167.3</v>
      </c>
      <c r="E279">
        <v>144.19999999999999</v>
      </c>
      <c r="F279">
        <v>120.55</v>
      </c>
      <c r="G279">
        <v>135.25</v>
      </c>
      <c r="H279">
        <v>95.5</v>
      </c>
      <c r="I279">
        <v>98.19</v>
      </c>
      <c r="J279">
        <v>97.8</v>
      </c>
      <c r="K279">
        <v>101.2</v>
      </c>
      <c r="Q279">
        <v>0.1006967911887193</v>
      </c>
      <c r="R279">
        <v>9.4627326795506506E-2</v>
      </c>
      <c r="S279">
        <v>0.1022442818385034</v>
      </c>
      <c r="T279">
        <v>0.10300152479247569</v>
      </c>
      <c r="U279">
        <v>0.1139635216862766</v>
      </c>
      <c r="V279">
        <v>0.3517618037938009</v>
      </c>
      <c r="W279">
        <v>0.1031017989934641</v>
      </c>
      <c r="X279">
        <v>0.34216623166133842</v>
      </c>
      <c r="Y279">
        <v>0.37997044951668901</v>
      </c>
      <c r="Z279">
        <v>0.36733086928743292</v>
      </c>
    </row>
    <row r="280" spans="1:26" x14ac:dyDescent="0.4">
      <c r="A280" s="1">
        <v>45728</v>
      </c>
      <c r="B280">
        <v>237.65</v>
      </c>
      <c r="C280">
        <v>185.5</v>
      </c>
      <c r="D280">
        <v>167.25</v>
      </c>
      <c r="E280">
        <v>144.9</v>
      </c>
      <c r="F280">
        <v>121.2</v>
      </c>
      <c r="G280">
        <v>135.75</v>
      </c>
      <c r="H280">
        <v>95.79</v>
      </c>
      <c r="I280">
        <v>98.5</v>
      </c>
      <c r="J280">
        <v>98.9</v>
      </c>
      <c r="K280">
        <v>101.65</v>
      </c>
      <c r="Q280">
        <v>0.1001622543425725</v>
      </c>
      <c r="R280">
        <v>9.7233783485941694E-2</v>
      </c>
      <c r="S280">
        <v>0.1030755178200401</v>
      </c>
      <c r="T280">
        <v>9.9086107727937203E-2</v>
      </c>
      <c r="U280">
        <v>0.1116633165073304</v>
      </c>
      <c r="V280">
        <v>0.34677724862625731</v>
      </c>
      <c r="W280">
        <v>0.1017839576274427</v>
      </c>
      <c r="X280">
        <v>0.3397934132045366</v>
      </c>
      <c r="Y280">
        <v>0.37204309721922979</v>
      </c>
      <c r="Z280">
        <v>0.36257986250949109</v>
      </c>
    </row>
    <row r="281" spans="1:26" x14ac:dyDescent="0.4">
      <c r="A281" s="1">
        <v>45729</v>
      </c>
      <c r="B281">
        <v>237.75</v>
      </c>
      <c r="C281">
        <v>186.1</v>
      </c>
      <c r="D281">
        <v>167.1</v>
      </c>
      <c r="E281">
        <v>145.1</v>
      </c>
      <c r="F281">
        <v>122.25</v>
      </c>
      <c r="G281">
        <v>135.6</v>
      </c>
      <c r="H281">
        <v>95.7</v>
      </c>
      <c r="I281">
        <v>98.4</v>
      </c>
      <c r="J281">
        <v>98</v>
      </c>
      <c r="K281">
        <v>101.5</v>
      </c>
      <c r="Q281">
        <v>0.1006818739651108</v>
      </c>
      <c r="R281">
        <v>9.41092136092994E-2</v>
      </c>
      <c r="S281">
        <v>0.1042805101113732</v>
      </c>
      <c r="T281">
        <v>9.8735328264784705E-2</v>
      </c>
      <c r="U281">
        <v>0.1076286812714264</v>
      </c>
      <c r="V281">
        <v>0.35016412085681081</v>
      </c>
      <c r="W281">
        <v>0.1031067924491105</v>
      </c>
      <c r="X281">
        <v>0.34165510560340667</v>
      </c>
      <c r="Y281">
        <v>0.37896844483582498</v>
      </c>
      <c r="Z281">
        <v>0.3648597377757184</v>
      </c>
    </row>
    <row r="282" spans="1:26" x14ac:dyDescent="0.4">
      <c r="A282" s="1">
        <v>45730</v>
      </c>
      <c r="B282">
        <v>239.25</v>
      </c>
      <c r="C282">
        <v>187.5</v>
      </c>
      <c r="D282">
        <v>168</v>
      </c>
      <c r="E282">
        <v>146.35</v>
      </c>
      <c r="F282">
        <v>122.75</v>
      </c>
      <c r="G282">
        <v>135.5</v>
      </c>
      <c r="H282">
        <v>96.5</v>
      </c>
      <c r="I282">
        <v>97.93</v>
      </c>
      <c r="J282">
        <v>98.67</v>
      </c>
      <c r="K282">
        <v>102</v>
      </c>
      <c r="Q282">
        <v>9.6296215604189397E-2</v>
      </c>
      <c r="R282">
        <v>8.4918091819674399E-2</v>
      </c>
      <c r="S282">
        <v>0.10160529369328949</v>
      </c>
      <c r="T282">
        <v>9.0956599763460197E-2</v>
      </c>
      <c r="U282">
        <v>0.1060175362114972</v>
      </c>
      <c r="V282">
        <v>0.35293484933131147</v>
      </c>
      <c r="W282">
        <v>9.8262001914120697E-2</v>
      </c>
      <c r="X282">
        <v>0.3473900282477424</v>
      </c>
      <c r="Y282">
        <v>0.37409381747988779</v>
      </c>
      <c r="Z282">
        <v>0.35913959033898268</v>
      </c>
    </row>
    <row r="283" spans="1:26" x14ac:dyDescent="0.4">
      <c r="A283" s="1">
        <v>45733</v>
      </c>
      <c r="B283">
        <v>239.6</v>
      </c>
      <c r="C283">
        <v>187.7</v>
      </c>
      <c r="D283">
        <v>167.15</v>
      </c>
      <c r="E283">
        <v>146.05000000000001</v>
      </c>
      <c r="F283">
        <v>123</v>
      </c>
      <c r="G283">
        <v>135.05000000000001</v>
      </c>
      <c r="H283">
        <v>97.49</v>
      </c>
      <c r="I283">
        <v>97.05</v>
      </c>
      <c r="J283">
        <v>97</v>
      </c>
      <c r="K283">
        <v>100.85</v>
      </c>
      <c r="Q283">
        <v>9.7670729443833704E-2</v>
      </c>
      <c r="R283">
        <v>8.7703797857554999E-2</v>
      </c>
      <c r="S283">
        <v>0.10672062812397359</v>
      </c>
      <c r="T283">
        <v>9.6263729724319499E-2</v>
      </c>
      <c r="U283">
        <v>0.10662601513418719</v>
      </c>
      <c r="V283">
        <v>0.36340409620560449</v>
      </c>
      <c r="W283">
        <v>9.3534272590581904E-2</v>
      </c>
      <c r="X283">
        <v>0.35932279489102309</v>
      </c>
      <c r="Y283">
        <v>0.38920240829261649</v>
      </c>
      <c r="Z283">
        <v>0.37766942633861522</v>
      </c>
    </row>
    <row r="284" spans="1:26" x14ac:dyDescent="0.4">
      <c r="A284" s="1">
        <v>45734</v>
      </c>
      <c r="B284">
        <v>236.3</v>
      </c>
      <c r="C284">
        <v>186.7</v>
      </c>
      <c r="D284">
        <v>165</v>
      </c>
      <c r="E284">
        <v>144.4</v>
      </c>
      <c r="F284">
        <v>120.2</v>
      </c>
      <c r="G284">
        <v>131.4</v>
      </c>
      <c r="H284">
        <v>96.22</v>
      </c>
      <c r="I284">
        <v>93.5</v>
      </c>
      <c r="J284">
        <v>92.5</v>
      </c>
      <c r="K284">
        <v>97.25</v>
      </c>
      <c r="Q284">
        <v>0.1103010120557484</v>
      </c>
      <c r="R284">
        <v>9.6887636119027704E-2</v>
      </c>
      <c r="S284">
        <v>0.1155149916607485</v>
      </c>
      <c r="T284">
        <v>0.10928081304637589</v>
      </c>
      <c r="U284">
        <v>0.1196161992613384</v>
      </c>
      <c r="V284">
        <v>0.41536518878487821</v>
      </c>
      <c r="W284">
        <v>0.10299253702279169</v>
      </c>
      <c r="X284">
        <v>0.39968239989779991</v>
      </c>
      <c r="Y284">
        <v>0.42762658176761642</v>
      </c>
      <c r="Z284">
        <v>0.4293816142973676</v>
      </c>
    </row>
    <row r="285" spans="1:26" x14ac:dyDescent="0.4">
      <c r="A285" s="1">
        <v>45735</v>
      </c>
      <c r="B285">
        <v>240.05</v>
      </c>
      <c r="C285">
        <v>188.5</v>
      </c>
      <c r="D285">
        <v>169</v>
      </c>
      <c r="E285">
        <v>147.25</v>
      </c>
      <c r="F285">
        <v>123.5</v>
      </c>
      <c r="G285">
        <v>135.35</v>
      </c>
      <c r="H285">
        <v>98.5</v>
      </c>
      <c r="I285">
        <v>95.9</v>
      </c>
      <c r="J285">
        <v>96.9</v>
      </c>
      <c r="K285">
        <v>100.5</v>
      </c>
      <c r="Q285">
        <v>9.7835993348771494E-2</v>
      </c>
      <c r="R285">
        <v>8.4484004867045007E-2</v>
      </c>
      <c r="S285">
        <v>0.1011658852665127</v>
      </c>
      <c r="T285">
        <v>8.9878062325702196E-2</v>
      </c>
      <c r="U285">
        <v>0.1055851301580279</v>
      </c>
      <c r="V285">
        <v>0.36250460809050172</v>
      </c>
      <c r="W285">
        <v>8.8039623670374906E-2</v>
      </c>
      <c r="X285">
        <v>0.37364531820506741</v>
      </c>
      <c r="Y285">
        <v>0.39134211719197498</v>
      </c>
      <c r="Z285">
        <v>0.38477495860879141</v>
      </c>
    </row>
    <row r="286" spans="1:26" x14ac:dyDescent="0.4">
      <c r="A286" s="1">
        <v>45736</v>
      </c>
      <c r="B286">
        <v>241.9</v>
      </c>
      <c r="C286">
        <v>188.6</v>
      </c>
      <c r="D286">
        <v>169.1</v>
      </c>
      <c r="E286">
        <v>147</v>
      </c>
      <c r="F286">
        <v>123.75</v>
      </c>
      <c r="G286">
        <v>133.6</v>
      </c>
      <c r="H286">
        <v>98</v>
      </c>
      <c r="I286">
        <v>95.15</v>
      </c>
      <c r="J286">
        <v>95.55</v>
      </c>
      <c r="K286">
        <v>99.9</v>
      </c>
      <c r="Q286">
        <v>9.2230415090859497E-2</v>
      </c>
      <c r="R286">
        <v>8.5167027173647505E-2</v>
      </c>
      <c r="S286">
        <v>0.1014489946027568</v>
      </c>
      <c r="T286">
        <v>9.2715470659009203E-2</v>
      </c>
      <c r="U286">
        <v>0.1050663116126435</v>
      </c>
      <c r="V286">
        <v>0.38794182681225109</v>
      </c>
      <c r="W286">
        <v>9.2104282789487693E-2</v>
      </c>
      <c r="X286">
        <v>0.38292426161115228</v>
      </c>
      <c r="Y286">
        <v>0.4031383749643872</v>
      </c>
      <c r="Z286">
        <v>0.3942791711988638</v>
      </c>
    </row>
    <row r="287" spans="1:26" x14ac:dyDescent="0.4">
      <c r="A287" s="1">
        <v>45737</v>
      </c>
      <c r="B287">
        <v>241.75</v>
      </c>
      <c r="C287">
        <v>189.5</v>
      </c>
      <c r="D287">
        <v>168.7</v>
      </c>
      <c r="E287">
        <v>147.19999999999999</v>
      </c>
      <c r="F287">
        <v>124</v>
      </c>
      <c r="G287">
        <v>131.94999999999999</v>
      </c>
      <c r="H287">
        <v>97</v>
      </c>
      <c r="I287">
        <v>93.59</v>
      </c>
      <c r="J287">
        <v>95</v>
      </c>
      <c r="K287">
        <v>99.1</v>
      </c>
      <c r="Q287">
        <v>9.3617273293926898E-2</v>
      </c>
      <c r="R287">
        <v>7.9725440974248801E-2</v>
      </c>
      <c r="S287">
        <v>0.1035862194555756</v>
      </c>
      <c r="T287">
        <v>9.23629638099491E-2</v>
      </c>
      <c r="U287">
        <v>0.1045485003131137</v>
      </c>
      <c r="V287">
        <v>0.4129388318443547</v>
      </c>
      <c r="W287">
        <v>9.9671564158994599E-2</v>
      </c>
      <c r="X287">
        <v>0.40167334192284793</v>
      </c>
      <c r="Y287">
        <v>0.40853512443801948</v>
      </c>
      <c r="Z287">
        <v>0.4068727580221998</v>
      </c>
    </row>
    <row r="288" spans="1:26" x14ac:dyDescent="0.4">
      <c r="A288" s="1">
        <v>45741</v>
      </c>
      <c r="B288">
        <v>240.3</v>
      </c>
      <c r="C288">
        <v>188.5</v>
      </c>
      <c r="D288">
        <v>168.55</v>
      </c>
      <c r="E288">
        <v>146.5</v>
      </c>
      <c r="F288">
        <v>122.55</v>
      </c>
      <c r="G288">
        <v>131.1</v>
      </c>
      <c r="H288">
        <v>96.01</v>
      </c>
      <c r="I288">
        <v>92.8</v>
      </c>
      <c r="J288">
        <v>94.8</v>
      </c>
      <c r="K288">
        <v>98.35</v>
      </c>
      <c r="Q288">
        <v>0.10160719816920601</v>
      </c>
      <c r="R288">
        <v>9.2228202436266393E-2</v>
      </c>
      <c r="S288">
        <v>0.1063115145692508</v>
      </c>
      <c r="T288">
        <v>0.100961152797618</v>
      </c>
      <c r="U288">
        <v>0.1127905676891346</v>
      </c>
      <c r="V288">
        <v>0.43285503256889968</v>
      </c>
      <c r="W288">
        <v>0.1089608411020901</v>
      </c>
      <c r="X288">
        <v>0.41509358373927391</v>
      </c>
      <c r="Y288">
        <v>0.41364335487566128</v>
      </c>
      <c r="Z288">
        <v>0.4235358908621219</v>
      </c>
    </row>
    <row r="289" spans="1:26" x14ac:dyDescent="0.4">
      <c r="A289" s="1">
        <v>45742</v>
      </c>
      <c r="B289">
        <v>240.05</v>
      </c>
      <c r="C289">
        <v>187.9</v>
      </c>
      <c r="D289">
        <v>168.7</v>
      </c>
      <c r="E289">
        <v>146.9</v>
      </c>
      <c r="F289">
        <v>122.7</v>
      </c>
      <c r="G289">
        <v>131.5</v>
      </c>
      <c r="H289">
        <v>96.69</v>
      </c>
      <c r="I289">
        <v>93.15</v>
      </c>
      <c r="J289">
        <v>95.34</v>
      </c>
      <c r="K289">
        <v>99.59</v>
      </c>
      <c r="Q289">
        <v>0.1034039477486895</v>
      </c>
      <c r="R289">
        <v>9.8517156616647894E-2</v>
      </c>
      <c r="S289">
        <v>0.10641808368473391</v>
      </c>
      <c r="T289">
        <v>9.9160565178238902E-2</v>
      </c>
      <c r="U289">
        <v>0.11270926451336589</v>
      </c>
      <c r="V289">
        <v>0.42886024905334241</v>
      </c>
      <c r="W289">
        <v>0.104864451150067</v>
      </c>
      <c r="X289">
        <v>0.41200276240187061</v>
      </c>
      <c r="Y289">
        <v>0.40998986830469653</v>
      </c>
      <c r="Z289">
        <v>0.4071314706389878</v>
      </c>
    </row>
    <row r="290" spans="1:26" x14ac:dyDescent="0.4">
      <c r="A290" s="1">
        <v>45743</v>
      </c>
      <c r="B290">
        <v>239.6</v>
      </c>
      <c r="C290">
        <v>188.15</v>
      </c>
      <c r="D290">
        <v>168.55</v>
      </c>
      <c r="E290">
        <v>146.30000000000001</v>
      </c>
      <c r="F290">
        <v>122.5</v>
      </c>
      <c r="G290">
        <v>132.55000000000001</v>
      </c>
      <c r="H290">
        <v>97</v>
      </c>
      <c r="I290">
        <v>93.95</v>
      </c>
      <c r="J290">
        <v>95.16</v>
      </c>
      <c r="K290">
        <v>100</v>
      </c>
      <c r="Q290">
        <v>0.1059342787524917</v>
      </c>
      <c r="R290">
        <v>9.8078986648274802E-2</v>
      </c>
      <c r="S290">
        <v>0.10765404855788201</v>
      </c>
      <c r="T290">
        <v>0.104678272144214</v>
      </c>
      <c r="U290">
        <v>0.1141865509349637</v>
      </c>
      <c r="V290">
        <v>0.41530874013802038</v>
      </c>
      <c r="W290">
        <v>0.1033982306051974</v>
      </c>
      <c r="X290">
        <v>0.403636734685833</v>
      </c>
      <c r="Y290">
        <v>0.41229060540218609</v>
      </c>
      <c r="Z290">
        <v>0.40261730007446578</v>
      </c>
    </row>
    <row r="291" spans="1:26" x14ac:dyDescent="0.4">
      <c r="A291" s="1">
        <v>45744</v>
      </c>
      <c r="B291">
        <v>241.5</v>
      </c>
      <c r="C291">
        <v>189.1</v>
      </c>
      <c r="D291">
        <v>169.65</v>
      </c>
      <c r="E291">
        <v>147.55000000000001</v>
      </c>
      <c r="F291">
        <v>123.15</v>
      </c>
      <c r="G291">
        <v>133.4</v>
      </c>
      <c r="H291">
        <v>97.35</v>
      </c>
      <c r="I291">
        <v>94.5</v>
      </c>
      <c r="J291">
        <v>94.79</v>
      </c>
      <c r="K291">
        <v>100.4</v>
      </c>
      <c r="Q291">
        <v>0.1000155857188776</v>
      </c>
      <c r="R291">
        <v>9.2061095953584707E-2</v>
      </c>
      <c r="S291">
        <v>0.1041972499354837</v>
      </c>
      <c r="T291">
        <v>9.6652133501398493E-2</v>
      </c>
      <c r="U291">
        <v>0.11188262286106999</v>
      </c>
      <c r="V291">
        <v>0.40479344280457841</v>
      </c>
      <c r="W291">
        <v>0.1016552854914867</v>
      </c>
      <c r="X291">
        <v>0.39825791978608072</v>
      </c>
      <c r="Y291">
        <v>0.41658763182953851</v>
      </c>
      <c r="Z291">
        <v>0.39863290229557019</v>
      </c>
    </row>
    <row r="292" spans="1:26" x14ac:dyDescent="0.4">
      <c r="A292" s="1">
        <v>45747</v>
      </c>
      <c r="B292">
        <v>241.55</v>
      </c>
      <c r="C292">
        <v>189.75</v>
      </c>
      <c r="D292">
        <v>169.6</v>
      </c>
      <c r="E292">
        <v>148.25</v>
      </c>
      <c r="F292">
        <v>123.2</v>
      </c>
      <c r="G292">
        <v>133.25</v>
      </c>
      <c r="H292">
        <v>98</v>
      </c>
      <c r="I292">
        <v>93.82</v>
      </c>
      <c r="J292">
        <v>94.05</v>
      </c>
      <c r="K292">
        <v>100.45</v>
      </c>
      <c r="Q292">
        <v>0.1012012663302418</v>
      </c>
      <c r="R292">
        <v>8.9150073863073595E-2</v>
      </c>
      <c r="S292">
        <v>0.10540699481715279</v>
      </c>
      <c r="T292">
        <v>9.3210539688079297E-2</v>
      </c>
      <c r="U292">
        <v>0.1125710312075049</v>
      </c>
      <c r="V292">
        <v>0.41254216320945752</v>
      </c>
      <c r="W292">
        <v>9.8181473887463899E-2</v>
      </c>
      <c r="X292">
        <v>0.40935755650114258</v>
      </c>
      <c r="Y292">
        <v>0.42558731467074118</v>
      </c>
      <c r="Z292">
        <v>0.40214895800236528</v>
      </c>
    </row>
    <row r="293" spans="1:26" x14ac:dyDescent="0.4">
      <c r="A293" s="1">
        <v>45748</v>
      </c>
      <c r="B293">
        <v>244.9</v>
      </c>
      <c r="C293">
        <v>191.4</v>
      </c>
      <c r="D293">
        <v>172.25</v>
      </c>
      <c r="E293">
        <v>149.30000000000001</v>
      </c>
      <c r="F293">
        <v>124.9</v>
      </c>
      <c r="G293">
        <v>134.69999999999999</v>
      </c>
      <c r="H293">
        <v>99</v>
      </c>
      <c r="I293">
        <v>95.1</v>
      </c>
      <c r="J293">
        <v>94.8</v>
      </c>
      <c r="K293">
        <v>101.05</v>
      </c>
      <c r="Q293">
        <v>9.1487388914421097E-2</v>
      </c>
      <c r="R293">
        <v>7.9898493121310796E-2</v>
      </c>
      <c r="S293">
        <v>9.71858780920975E-2</v>
      </c>
      <c r="T293">
        <v>8.8352884380885094E-2</v>
      </c>
      <c r="U293">
        <v>0.10648874268273829</v>
      </c>
      <c r="V293">
        <v>0.39323428733974691</v>
      </c>
      <c r="W293">
        <v>9.2996733359134803E-2</v>
      </c>
      <c r="X293">
        <v>0.39537961412331718</v>
      </c>
      <c r="Y293">
        <v>0.42010715132934878</v>
      </c>
      <c r="Z293">
        <v>0.39516567738532982</v>
      </c>
    </row>
    <row r="294" spans="1:26" x14ac:dyDescent="0.4">
      <c r="A294" s="1">
        <v>45750</v>
      </c>
      <c r="B294">
        <v>245.85</v>
      </c>
      <c r="C294">
        <v>191.75</v>
      </c>
      <c r="D294">
        <v>172.15</v>
      </c>
      <c r="E294">
        <v>149.65</v>
      </c>
      <c r="F294">
        <v>125</v>
      </c>
      <c r="G294">
        <v>134.55000000000001</v>
      </c>
      <c r="H294">
        <v>99.5</v>
      </c>
      <c r="I294">
        <v>94.95</v>
      </c>
      <c r="J294">
        <v>94.5</v>
      </c>
      <c r="K294">
        <v>100.65</v>
      </c>
      <c r="Q294">
        <v>8.9879385177631804E-2</v>
      </c>
      <c r="R294">
        <v>8.0096226644931004E-2</v>
      </c>
      <c r="S294">
        <v>9.8857485264252795E-2</v>
      </c>
      <c r="T294">
        <v>8.7983816134836496E-2</v>
      </c>
      <c r="U294">
        <v>0.1071968638090654</v>
      </c>
      <c r="V294">
        <v>0.39903898966462009</v>
      </c>
      <c r="W294">
        <v>9.0936397815306602E-2</v>
      </c>
      <c r="X294">
        <v>0.3991877638945574</v>
      </c>
      <c r="Y294">
        <v>0.42461111726639078</v>
      </c>
      <c r="Z294">
        <v>0.40391174617601822</v>
      </c>
    </row>
    <row r="295" spans="1:26" x14ac:dyDescent="0.4">
      <c r="A295" s="1">
        <v>45751</v>
      </c>
      <c r="B295">
        <v>245</v>
      </c>
      <c r="C295">
        <v>191.15</v>
      </c>
      <c r="D295">
        <v>171.5</v>
      </c>
      <c r="E295">
        <v>148.9</v>
      </c>
      <c r="F295">
        <v>124.25</v>
      </c>
      <c r="G295">
        <v>133.25</v>
      </c>
      <c r="H295">
        <v>99</v>
      </c>
      <c r="I295">
        <v>94</v>
      </c>
      <c r="J295">
        <v>92.15</v>
      </c>
      <c r="K295">
        <v>98.8</v>
      </c>
      <c r="Q295">
        <v>9.3764329651866804E-2</v>
      </c>
      <c r="R295">
        <v>8.6386297676215001E-2</v>
      </c>
      <c r="S295">
        <v>0.10193069994542769</v>
      </c>
      <c r="T295">
        <v>9.4538937960880795E-2</v>
      </c>
      <c r="U295">
        <v>0.1110830823327618</v>
      </c>
      <c r="V295">
        <v>0.42021594247923411</v>
      </c>
      <c r="W295">
        <v>9.5080065587813803E-2</v>
      </c>
      <c r="X295">
        <v>0.41148727301857208</v>
      </c>
      <c r="Y295">
        <v>0.44642005312604738</v>
      </c>
      <c r="Z295">
        <v>0.43267762732383569</v>
      </c>
    </row>
    <row r="296" spans="1:26" x14ac:dyDescent="0.4">
      <c r="A296" s="1">
        <v>45754</v>
      </c>
      <c r="B296">
        <v>242.6</v>
      </c>
      <c r="C296">
        <v>191</v>
      </c>
      <c r="D296">
        <v>167.8</v>
      </c>
      <c r="E296">
        <v>147.80000000000001</v>
      </c>
      <c r="F296">
        <v>122.25</v>
      </c>
      <c r="G296">
        <v>129.05000000000001</v>
      </c>
      <c r="H296">
        <v>97</v>
      </c>
      <c r="I296">
        <v>90.5</v>
      </c>
      <c r="J296">
        <v>88.3</v>
      </c>
      <c r="K296">
        <v>96.99</v>
      </c>
      <c r="Q296">
        <v>0.1037686927513007</v>
      </c>
      <c r="R296">
        <v>8.9869171275649806E-2</v>
      </c>
      <c r="S296">
        <v>0.1170685362036035</v>
      </c>
      <c r="T296">
        <v>0.1044151041507814</v>
      </c>
      <c r="U296">
        <v>0.1210137450777809</v>
      </c>
      <c r="V296">
        <v>0.4929264912114163</v>
      </c>
      <c r="W296">
        <v>0.1103266666328771</v>
      </c>
      <c r="X296">
        <v>0.45844419654045387</v>
      </c>
      <c r="Y296">
        <v>0.48600105717458858</v>
      </c>
      <c r="Z296">
        <v>0.46583123650558328</v>
      </c>
    </row>
    <row r="297" spans="1:26" x14ac:dyDescent="0.4">
      <c r="A297" s="1">
        <v>45755</v>
      </c>
      <c r="B297">
        <v>242.7</v>
      </c>
      <c r="C297">
        <v>191.5</v>
      </c>
      <c r="D297">
        <v>167.8</v>
      </c>
      <c r="E297">
        <v>147.85</v>
      </c>
      <c r="F297">
        <v>121.7</v>
      </c>
      <c r="G297">
        <v>129.5</v>
      </c>
      <c r="H297">
        <v>97.99</v>
      </c>
      <c r="I297">
        <v>90.15</v>
      </c>
      <c r="J297">
        <v>88.1</v>
      </c>
      <c r="K297">
        <v>97.3</v>
      </c>
      <c r="Q297">
        <v>0.1063636986467443</v>
      </c>
      <c r="R297">
        <v>9.0940211147384598E-2</v>
      </c>
      <c r="S297">
        <v>0.11926924008808359</v>
      </c>
      <c r="T297">
        <v>0.10775880573941859</v>
      </c>
      <c r="U297">
        <v>0.12543068067475621</v>
      </c>
      <c r="V297">
        <v>0.4878650555650399</v>
      </c>
      <c r="W297">
        <v>0.1055658338869971</v>
      </c>
      <c r="X297">
        <v>0.4642253815256992</v>
      </c>
      <c r="Y297">
        <v>0.48944944274787999</v>
      </c>
      <c r="Z297">
        <v>0.46310489939446048</v>
      </c>
    </row>
    <row r="298" spans="1:26" x14ac:dyDescent="0.4">
      <c r="A298" s="1">
        <v>45756</v>
      </c>
      <c r="B298">
        <v>244</v>
      </c>
      <c r="C298">
        <v>192.6</v>
      </c>
      <c r="D298">
        <v>169.7</v>
      </c>
      <c r="E298">
        <v>149.5</v>
      </c>
      <c r="F298">
        <v>122.5</v>
      </c>
      <c r="G298">
        <v>128.5</v>
      </c>
      <c r="H298">
        <v>98.5</v>
      </c>
      <c r="I298">
        <v>90</v>
      </c>
      <c r="J298">
        <v>88.55</v>
      </c>
      <c r="K298">
        <v>99</v>
      </c>
      <c r="Q298">
        <v>0.1025421703837285</v>
      </c>
      <c r="R298">
        <v>8.3549074457548694E-2</v>
      </c>
      <c r="S298">
        <v>0.1126184361413668</v>
      </c>
      <c r="T298">
        <v>9.65590399210325E-2</v>
      </c>
      <c r="U298">
        <v>0.1223673893859491</v>
      </c>
      <c r="V298">
        <v>0.50696012495083698</v>
      </c>
      <c r="W298">
        <v>0.10266867640898319</v>
      </c>
      <c r="X298">
        <v>0.46744177624494088</v>
      </c>
      <c r="Y298">
        <v>0.48633929794169001</v>
      </c>
      <c r="Z298">
        <v>0.43857936225346311</v>
      </c>
    </row>
    <row r="299" spans="1:26" x14ac:dyDescent="0.4">
      <c r="A299" s="1">
        <v>45757</v>
      </c>
      <c r="B299">
        <v>245.5</v>
      </c>
      <c r="C299">
        <v>193.5</v>
      </c>
      <c r="D299">
        <v>169.95</v>
      </c>
      <c r="E299">
        <v>149.69999999999999</v>
      </c>
      <c r="F299">
        <v>123.45</v>
      </c>
      <c r="G299">
        <v>131.25</v>
      </c>
      <c r="H299">
        <v>97.5</v>
      </c>
      <c r="I299">
        <v>90.3</v>
      </c>
      <c r="J299">
        <v>90</v>
      </c>
      <c r="K299">
        <v>99</v>
      </c>
      <c r="Q299">
        <v>9.8019529319784096E-2</v>
      </c>
      <c r="R299">
        <v>7.7808810212136106E-2</v>
      </c>
      <c r="S299">
        <v>0.1123506792487364</v>
      </c>
      <c r="T299">
        <v>9.6208058409040703E-2</v>
      </c>
      <c r="U299">
        <v>0.11864767310218149</v>
      </c>
      <c r="V299">
        <v>0.46393347131663171</v>
      </c>
      <c r="W299">
        <v>0.1105526517742015</v>
      </c>
      <c r="X299">
        <v>0.46476438402490228</v>
      </c>
      <c r="Y299">
        <v>0.47376879099017111</v>
      </c>
      <c r="Z299">
        <v>0.44072084839258008</v>
      </c>
    </row>
    <row r="300" spans="1:26" x14ac:dyDescent="0.4">
      <c r="A300" s="1">
        <v>45758</v>
      </c>
      <c r="B300">
        <v>250</v>
      </c>
      <c r="C300">
        <v>199.5</v>
      </c>
      <c r="D300">
        <v>174.45</v>
      </c>
      <c r="E300">
        <v>153.5</v>
      </c>
      <c r="F300">
        <v>125.5</v>
      </c>
      <c r="G300">
        <v>135.5</v>
      </c>
      <c r="H300">
        <v>100.3</v>
      </c>
      <c r="I300">
        <v>95.08</v>
      </c>
      <c r="J300">
        <v>94</v>
      </c>
      <c r="K300">
        <v>101</v>
      </c>
      <c r="Q300">
        <v>8.2900019344891399E-2</v>
      </c>
      <c r="R300">
        <v>3.2533141211244697E-2</v>
      </c>
      <c r="S300">
        <v>9.6091462993556906E-2</v>
      </c>
      <c r="T300">
        <v>6.9725695013210104E-2</v>
      </c>
      <c r="U300">
        <v>0.1100590828885829</v>
      </c>
      <c r="V300">
        <v>0.39990468591249589</v>
      </c>
      <c r="W300">
        <v>9.1498673764047203E-2</v>
      </c>
      <c r="X300">
        <v>0.40610510189735738</v>
      </c>
      <c r="Y300">
        <v>0.437938264375759</v>
      </c>
      <c r="Z300">
        <v>0.41241285146778223</v>
      </c>
    </row>
    <row r="301" spans="1:26" x14ac:dyDescent="0.4">
      <c r="A301" s="1">
        <v>45761</v>
      </c>
      <c r="B301">
        <v>253.55</v>
      </c>
      <c r="C301">
        <v>199.35</v>
      </c>
      <c r="D301">
        <v>178.05</v>
      </c>
      <c r="E301">
        <v>154.9</v>
      </c>
      <c r="F301">
        <v>128.75</v>
      </c>
      <c r="G301">
        <v>134.80000000000001</v>
      </c>
      <c r="H301">
        <v>102</v>
      </c>
      <c r="I301">
        <v>96.9</v>
      </c>
      <c r="J301">
        <v>95.75</v>
      </c>
      <c r="K301">
        <v>102</v>
      </c>
      <c r="Q301">
        <v>7.3117836238073206E-2</v>
      </c>
      <c r="R301">
        <v>3.7573502546422402E-2</v>
      </c>
      <c r="S301">
        <v>8.4914887827625005E-2</v>
      </c>
      <c r="T301">
        <v>6.2920534517237503E-2</v>
      </c>
      <c r="U301">
        <v>9.7626252867585694E-2</v>
      </c>
      <c r="V301">
        <v>0.41642203156703839</v>
      </c>
      <c r="W301">
        <v>8.1938575768918095E-2</v>
      </c>
      <c r="X301">
        <v>0.38776366473989049</v>
      </c>
      <c r="Y301">
        <v>0.42533266906174211</v>
      </c>
      <c r="Z301">
        <v>0.40234888888880821</v>
      </c>
    </row>
    <row r="302" spans="1:26" x14ac:dyDescent="0.4">
      <c r="A302" s="1">
        <v>45762</v>
      </c>
      <c r="B302">
        <v>257.89999999999998</v>
      </c>
      <c r="C302">
        <v>201.6</v>
      </c>
      <c r="D302">
        <v>179</v>
      </c>
      <c r="E302">
        <v>155.4</v>
      </c>
      <c r="F302">
        <v>129.6</v>
      </c>
      <c r="G302">
        <v>136.55000000000001</v>
      </c>
      <c r="H302">
        <v>102.55</v>
      </c>
      <c r="I302">
        <v>96.51</v>
      </c>
      <c r="J302">
        <v>97.95</v>
      </c>
      <c r="K302">
        <v>102.7</v>
      </c>
      <c r="Q302">
        <v>5.9149758378542097E-2</v>
      </c>
      <c r="R302">
        <v>2.1840758428297399E-2</v>
      </c>
      <c r="S302">
        <v>8.2141569233672301E-2</v>
      </c>
      <c r="T302">
        <v>6.04219702703317E-2</v>
      </c>
      <c r="U302">
        <v>9.4559817087601E-2</v>
      </c>
      <c r="V302">
        <v>0.39170550937052651</v>
      </c>
      <c r="W302">
        <v>7.8903116567152806E-2</v>
      </c>
      <c r="X302">
        <v>0.39337491514710859</v>
      </c>
      <c r="Y302">
        <v>0.4077864775572892</v>
      </c>
      <c r="Z302">
        <v>0.39418730406660069</v>
      </c>
    </row>
    <row r="303" spans="1:26" x14ac:dyDescent="0.4">
      <c r="A303" s="1">
        <v>45763</v>
      </c>
      <c r="B303">
        <v>258.5</v>
      </c>
      <c r="C303">
        <v>201.6</v>
      </c>
      <c r="D303">
        <v>183</v>
      </c>
      <c r="E303">
        <v>156.55000000000001</v>
      </c>
      <c r="F303">
        <v>131.5</v>
      </c>
      <c r="G303">
        <v>139.69999999999999</v>
      </c>
      <c r="H303">
        <v>104.5</v>
      </c>
      <c r="I303">
        <v>100.35</v>
      </c>
      <c r="J303">
        <v>99.6</v>
      </c>
      <c r="K303">
        <v>104.9</v>
      </c>
      <c r="Q303">
        <v>5.7938058311850497E-2</v>
      </c>
      <c r="R303">
        <v>2.3090601035024302E-2</v>
      </c>
      <c r="S303">
        <v>6.8695914821305701E-2</v>
      </c>
      <c r="T303">
        <v>5.3395570712348898E-2</v>
      </c>
      <c r="U303">
        <v>8.7113923182062597E-2</v>
      </c>
      <c r="V303">
        <v>0.34730041717239901</v>
      </c>
      <c r="W303">
        <v>6.6629821968154701E-2</v>
      </c>
      <c r="X303">
        <v>0.35061408333187988</v>
      </c>
      <c r="Y303">
        <v>0.39541073763592588</v>
      </c>
      <c r="Z303">
        <v>0.36480008819965049</v>
      </c>
    </row>
    <row r="304" spans="1:26" x14ac:dyDescent="0.4">
      <c r="A304" s="1">
        <v>45768</v>
      </c>
      <c r="B304">
        <v>254.7</v>
      </c>
      <c r="C304">
        <v>199.9</v>
      </c>
      <c r="D304">
        <v>179.95</v>
      </c>
      <c r="E304">
        <v>155</v>
      </c>
      <c r="F304">
        <v>130</v>
      </c>
      <c r="G304">
        <v>139.80000000000001</v>
      </c>
      <c r="H304">
        <v>102.1</v>
      </c>
      <c r="I304">
        <v>101.55</v>
      </c>
      <c r="J304">
        <v>101.15</v>
      </c>
      <c r="K304">
        <v>105</v>
      </c>
      <c r="Q304">
        <v>7.50753770151701E-2</v>
      </c>
      <c r="R304">
        <v>4.2793049641149203E-2</v>
      </c>
      <c r="S304">
        <v>8.2537480764199894E-2</v>
      </c>
      <c r="T304">
        <v>6.9499840498961199E-2</v>
      </c>
      <c r="U304">
        <v>9.6236435340882595E-2</v>
      </c>
      <c r="V304">
        <v>0.35429794779929252</v>
      </c>
      <c r="W304">
        <v>8.6076959288539395E-2</v>
      </c>
      <c r="X304">
        <v>0.34202058513734401</v>
      </c>
      <c r="Y304">
        <v>0.38643017531785889</v>
      </c>
      <c r="Z304">
        <v>0.36983721501046651</v>
      </c>
    </row>
    <row r="305" spans="1:26" x14ac:dyDescent="0.4">
      <c r="A305" s="1">
        <v>45769</v>
      </c>
      <c r="B305">
        <v>251.2</v>
      </c>
      <c r="C305">
        <v>197.35</v>
      </c>
      <c r="D305">
        <v>177</v>
      </c>
      <c r="E305">
        <v>153</v>
      </c>
      <c r="F305">
        <v>129.5</v>
      </c>
      <c r="G305">
        <v>139.19999999999999</v>
      </c>
      <c r="H305">
        <v>101.5</v>
      </c>
      <c r="I305">
        <v>102</v>
      </c>
      <c r="J305">
        <v>101.35</v>
      </c>
      <c r="K305">
        <v>103.6</v>
      </c>
      <c r="Q305">
        <v>8.8357781015628203E-2</v>
      </c>
      <c r="R305">
        <v>6.4753442828365398E-2</v>
      </c>
      <c r="S305">
        <v>9.3935515182917803E-2</v>
      </c>
      <c r="T305">
        <v>8.5261497429333796E-2</v>
      </c>
      <c r="U305">
        <v>9.8956599682892596E-2</v>
      </c>
      <c r="V305">
        <v>0.36492047281809181</v>
      </c>
      <c r="W305">
        <v>9.0931855666439604E-2</v>
      </c>
      <c r="X305">
        <v>0.3380142056097582</v>
      </c>
      <c r="Y305">
        <v>0.38857953619627672</v>
      </c>
      <c r="Z305">
        <v>0.39487004113389768</v>
      </c>
    </row>
    <row r="306" spans="1:26" x14ac:dyDescent="0.4">
      <c r="A306" s="1">
        <v>45770</v>
      </c>
      <c r="B306">
        <v>251.15</v>
      </c>
      <c r="C306">
        <v>196.95</v>
      </c>
      <c r="D306">
        <v>177.4</v>
      </c>
      <c r="E306">
        <v>153.1</v>
      </c>
      <c r="F306">
        <v>129.5</v>
      </c>
      <c r="G306">
        <v>138.85</v>
      </c>
      <c r="H306">
        <v>101.5</v>
      </c>
      <c r="I306">
        <v>101.2</v>
      </c>
      <c r="J306">
        <v>100.65</v>
      </c>
      <c r="K306">
        <v>103.3</v>
      </c>
      <c r="Q306">
        <v>8.9443450394130097E-2</v>
      </c>
      <c r="R306">
        <v>6.9585242057981306E-2</v>
      </c>
      <c r="S306">
        <v>9.3121322990748698E-2</v>
      </c>
      <c r="T306">
        <v>8.5648661254784403E-2</v>
      </c>
      <c r="U306">
        <v>9.9531476628851298E-2</v>
      </c>
      <c r="V306">
        <v>0.37197962098615661</v>
      </c>
      <c r="W306">
        <v>9.1644465359214194E-2</v>
      </c>
      <c r="X306">
        <v>0.34770834073690321</v>
      </c>
      <c r="Y306">
        <v>0.3968694168815648</v>
      </c>
      <c r="Z306">
        <v>0.4027012471807826</v>
      </c>
    </row>
    <row r="307" spans="1:26" x14ac:dyDescent="0.4">
      <c r="A307" s="1">
        <v>45771</v>
      </c>
      <c r="B307">
        <v>251.35</v>
      </c>
      <c r="C307">
        <v>196.75</v>
      </c>
      <c r="D307">
        <v>176.85</v>
      </c>
      <c r="E307">
        <v>153</v>
      </c>
      <c r="F307">
        <v>129.4</v>
      </c>
      <c r="G307">
        <v>139.5</v>
      </c>
      <c r="H307">
        <v>101.5</v>
      </c>
      <c r="I307">
        <v>101.9</v>
      </c>
      <c r="J307">
        <v>101.15</v>
      </c>
      <c r="K307">
        <v>103.9</v>
      </c>
      <c r="Q307">
        <v>8.9631418881835095E-2</v>
      </c>
      <c r="R307">
        <v>7.2814616361705095E-2</v>
      </c>
      <c r="S307">
        <v>9.5825258309589295E-2</v>
      </c>
      <c r="T307">
        <v>8.75376897928309E-2</v>
      </c>
      <c r="U307">
        <v>0.10054178582670691</v>
      </c>
      <c r="V307">
        <v>0.36403307011365232</v>
      </c>
      <c r="W307">
        <v>9.2360209165534404E-2</v>
      </c>
      <c r="X307">
        <v>0.340914788357224</v>
      </c>
      <c r="Y307">
        <v>0.39459669987142881</v>
      </c>
      <c r="Z307">
        <v>0.39642494676279838</v>
      </c>
    </row>
    <row r="308" spans="1:26" x14ac:dyDescent="0.4">
      <c r="A308" s="1">
        <v>45772</v>
      </c>
      <c r="B308">
        <v>251.15</v>
      </c>
      <c r="C308">
        <v>197.15</v>
      </c>
      <c r="D308">
        <v>177.35</v>
      </c>
      <c r="E308">
        <v>152.94999999999999</v>
      </c>
      <c r="F308">
        <v>128.94999999999999</v>
      </c>
      <c r="G308">
        <v>140.94999999999999</v>
      </c>
      <c r="H308">
        <v>101.7</v>
      </c>
      <c r="I308">
        <v>101.65</v>
      </c>
      <c r="J308">
        <v>101.55</v>
      </c>
      <c r="K308">
        <v>104.4</v>
      </c>
      <c r="Q308">
        <v>9.1270431675376296E-2</v>
      </c>
      <c r="R308">
        <v>7.1048895735307704E-2</v>
      </c>
      <c r="S308">
        <v>9.4637772029411205E-2</v>
      </c>
      <c r="T308">
        <v>8.9064494642059899E-2</v>
      </c>
      <c r="U308">
        <v>0.1030819356180393</v>
      </c>
      <c r="V308">
        <v>0.34428712652262938</v>
      </c>
      <c r="W308">
        <v>9.1679111198053997E-2</v>
      </c>
      <c r="X308">
        <v>0.3445836882804128</v>
      </c>
      <c r="Y308">
        <v>0.39294770266805701</v>
      </c>
      <c r="Z308">
        <v>0.39142457132474601</v>
      </c>
    </row>
    <row r="309" spans="1:26" x14ac:dyDescent="0.4">
      <c r="A309" s="1">
        <v>45775</v>
      </c>
      <c r="B309">
        <v>251.2</v>
      </c>
      <c r="C309">
        <v>197.7</v>
      </c>
      <c r="D309">
        <v>177.1</v>
      </c>
      <c r="E309">
        <v>153.19999999999999</v>
      </c>
      <c r="F309">
        <v>129</v>
      </c>
      <c r="G309">
        <v>141</v>
      </c>
      <c r="H309">
        <v>101.4</v>
      </c>
      <c r="I309">
        <v>101.6</v>
      </c>
      <c r="J309">
        <v>101.5</v>
      </c>
      <c r="K309">
        <v>104.9</v>
      </c>
      <c r="Q309">
        <v>9.3865597691706507E-2</v>
      </c>
      <c r="R309">
        <v>7.1184581503688699E-2</v>
      </c>
      <c r="S309">
        <v>9.7590215479244402E-2</v>
      </c>
      <c r="T309">
        <v>9.0662972473916595E-2</v>
      </c>
      <c r="U309">
        <v>0.10462453459138529</v>
      </c>
      <c r="V309">
        <v>0.34871664362455168</v>
      </c>
      <c r="W309">
        <v>9.5960769229902099E-2</v>
      </c>
      <c r="X309">
        <v>0.34793478716173648</v>
      </c>
      <c r="Y309">
        <v>0.39568852574498081</v>
      </c>
      <c r="Z309">
        <v>0.3882778196328901</v>
      </c>
    </row>
    <row r="310" spans="1:26" x14ac:dyDescent="0.4">
      <c r="A310" s="1">
        <v>45776</v>
      </c>
      <c r="B310">
        <v>249.45</v>
      </c>
      <c r="C310">
        <v>197.25</v>
      </c>
      <c r="D310">
        <v>176</v>
      </c>
      <c r="E310">
        <v>152.19999999999999</v>
      </c>
      <c r="F310">
        <v>128</v>
      </c>
      <c r="G310">
        <v>140.80000000000001</v>
      </c>
      <c r="H310">
        <v>101.1</v>
      </c>
      <c r="I310">
        <v>101.8</v>
      </c>
      <c r="J310">
        <v>101.1</v>
      </c>
      <c r="K310">
        <v>105</v>
      </c>
      <c r="Q310">
        <v>0.1012731664169091</v>
      </c>
      <c r="R310">
        <v>7.6621921643891602E-2</v>
      </c>
      <c r="S310">
        <v>0.1024182482338902</v>
      </c>
      <c r="T310">
        <v>9.9527210400344193E-2</v>
      </c>
      <c r="U310">
        <v>0.1096413418153675</v>
      </c>
      <c r="V310">
        <v>0.35347575347330729</v>
      </c>
      <c r="W310">
        <v>9.8826593851021799E-2</v>
      </c>
      <c r="X310">
        <v>0.34664305839985821</v>
      </c>
      <c r="Y310">
        <v>0.40136504594188871</v>
      </c>
      <c r="Z310">
        <v>0.38993307996923282</v>
      </c>
    </row>
    <row r="311" spans="1:26" x14ac:dyDescent="0.4">
      <c r="A311" s="1">
        <v>45777</v>
      </c>
      <c r="B311">
        <v>250.75</v>
      </c>
      <c r="C311">
        <v>197.5</v>
      </c>
      <c r="D311">
        <v>177.1</v>
      </c>
      <c r="E311">
        <v>153.25</v>
      </c>
      <c r="F311">
        <v>128.5</v>
      </c>
      <c r="G311">
        <v>141.35</v>
      </c>
      <c r="H311">
        <v>101.25</v>
      </c>
      <c r="I311">
        <v>102.05</v>
      </c>
      <c r="J311">
        <v>101</v>
      </c>
      <c r="K311">
        <v>105.65</v>
      </c>
      <c r="Q311">
        <v>9.7817640036475695E-2</v>
      </c>
      <c r="R311">
        <v>7.6875106590569994E-2</v>
      </c>
      <c r="S311">
        <v>9.9250130306506895E-2</v>
      </c>
      <c r="T311">
        <v>9.3164615744774595E-2</v>
      </c>
      <c r="U311">
        <v>0.1082734106987485</v>
      </c>
      <c r="V311">
        <v>0.34698502198026332</v>
      </c>
      <c r="W311">
        <v>9.8819610636575003E-2</v>
      </c>
      <c r="X311">
        <v>0.34479384006944142</v>
      </c>
      <c r="Y311">
        <v>0.40300259368609609</v>
      </c>
      <c r="Z311">
        <v>0.38173742054899812</v>
      </c>
    </row>
    <row r="312" spans="1:26" x14ac:dyDescent="0.4">
      <c r="A312" s="1">
        <v>45782</v>
      </c>
      <c r="B312">
        <v>251.1</v>
      </c>
      <c r="C312">
        <v>198.25</v>
      </c>
      <c r="D312">
        <v>177.5</v>
      </c>
      <c r="E312">
        <v>153.30000000000001</v>
      </c>
      <c r="F312">
        <v>128.94999999999999</v>
      </c>
      <c r="G312">
        <v>141.1</v>
      </c>
      <c r="H312">
        <v>101.3</v>
      </c>
      <c r="I312">
        <v>101.45</v>
      </c>
      <c r="J312">
        <v>100.4</v>
      </c>
      <c r="K312">
        <v>105.65</v>
      </c>
      <c r="Q312">
        <v>0.1000009466691493</v>
      </c>
      <c r="R312">
        <v>7.6287693436519005E-2</v>
      </c>
      <c r="S312">
        <v>0.1002451679498642</v>
      </c>
      <c r="T312">
        <v>9.7146695628625698E-2</v>
      </c>
      <c r="U312">
        <v>0.1084767139315054</v>
      </c>
      <c r="V312">
        <v>0.3598340080444753</v>
      </c>
      <c r="W312">
        <v>0.10118047780684419</v>
      </c>
      <c r="X312">
        <v>0.35635565132517322</v>
      </c>
      <c r="Y312">
        <v>0.4138883872695982</v>
      </c>
      <c r="Z312">
        <v>0.39074474667252679</v>
      </c>
    </row>
    <row r="313" spans="1:26" x14ac:dyDescent="0.4">
      <c r="A313" s="1">
        <v>45783</v>
      </c>
      <c r="B313">
        <v>252.25</v>
      </c>
      <c r="C313">
        <v>199</v>
      </c>
      <c r="D313">
        <v>178.25</v>
      </c>
      <c r="E313">
        <v>154.1</v>
      </c>
      <c r="F313">
        <v>129.55000000000001</v>
      </c>
      <c r="G313">
        <v>141.55000000000001</v>
      </c>
      <c r="H313">
        <v>102.2</v>
      </c>
      <c r="I313">
        <v>101.9</v>
      </c>
      <c r="J313">
        <v>100.8</v>
      </c>
      <c r="K313">
        <v>105.5</v>
      </c>
      <c r="Q313">
        <v>9.9368047507295498E-2</v>
      </c>
      <c r="R313">
        <v>7.6394455870518796E-2</v>
      </c>
      <c r="S313">
        <v>0.10003105192181951</v>
      </c>
      <c r="T313">
        <v>9.5570063554639595E-2</v>
      </c>
      <c r="U313">
        <v>0.1080611172099965</v>
      </c>
      <c r="V313">
        <v>0.35472788460528509</v>
      </c>
      <c r="W313">
        <v>9.7570058717959499E-2</v>
      </c>
      <c r="X313">
        <v>0.35220087980398501</v>
      </c>
      <c r="Y313">
        <v>0.41182932679221551</v>
      </c>
      <c r="Z313">
        <v>0.39508619336002432</v>
      </c>
    </row>
    <row r="314" spans="1:26" x14ac:dyDescent="0.4">
      <c r="A314" s="1">
        <v>45784</v>
      </c>
      <c r="B314">
        <v>254</v>
      </c>
      <c r="C314">
        <v>199.85</v>
      </c>
      <c r="D314">
        <v>179.25</v>
      </c>
      <c r="E314">
        <v>155</v>
      </c>
      <c r="F314">
        <v>130.1</v>
      </c>
      <c r="G314">
        <v>142.65</v>
      </c>
      <c r="H314">
        <v>102.4</v>
      </c>
      <c r="I314">
        <v>103</v>
      </c>
      <c r="J314">
        <v>102.7</v>
      </c>
      <c r="K314">
        <v>106</v>
      </c>
      <c r="Q314">
        <v>9.4242144802007002E-2</v>
      </c>
      <c r="R314">
        <v>7.1436904849123795E-2</v>
      </c>
      <c r="S314">
        <v>9.7256026638738696E-2</v>
      </c>
      <c r="T314">
        <v>9.0341311156152806E-2</v>
      </c>
      <c r="U314">
        <v>0.1064848094176868</v>
      </c>
      <c r="V314">
        <v>0.33965899622690371</v>
      </c>
      <c r="W314">
        <v>9.7215597718407903E-2</v>
      </c>
      <c r="X314">
        <v>0.34074915076223727</v>
      </c>
      <c r="Y314">
        <v>0.39685506625140887</v>
      </c>
      <c r="Z314">
        <v>0.38931363204095509</v>
      </c>
    </row>
    <row r="315" spans="1:26" x14ac:dyDescent="0.4">
      <c r="A315" s="1">
        <v>45785</v>
      </c>
      <c r="B315">
        <v>257.39999999999998</v>
      </c>
      <c r="C315">
        <v>201.9</v>
      </c>
      <c r="D315">
        <v>181.25</v>
      </c>
      <c r="E315">
        <v>156.80000000000001</v>
      </c>
      <c r="F315">
        <v>131.80000000000001</v>
      </c>
      <c r="G315">
        <v>144</v>
      </c>
      <c r="H315">
        <v>104.45</v>
      </c>
      <c r="I315">
        <v>104.35</v>
      </c>
      <c r="J315">
        <v>103.9</v>
      </c>
      <c r="K315">
        <v>107</v>
      </c>
      <c r="Q315">
        <v>8.3144720903641806E-2</v>
      </c>
      <c r="R315">
        <v>5.6183077694872803E-2</v>
      </c>
      <c r="S315">
        <v>9.0785889619476395E-2</v>
      </c>
      <c r="T315">
        <v>7.8291095988285694E-2</v>
      </c>
      <c r="U315">
        <v>9.9890568460091395E-2</v>
      </c>
      <c r="V315">
        <v>0.32100751908687059</v>
      </c>
      <c r="W315">
        <v>8.3872655963519796E-2</v>
      </c>
      <c r="X315">
        <v>0.32672727597999152</v>
      </c>
      <c r="Y315">
        <v>0.38771302492992571</v>
      </c>
      <c r="Z315">
        <v>0.37579176870788539</v>
      </c>
    </row>
    <row r="316" spans="1:26" x14ac:dyDescent="0.4">
      <c r="A316" s="1">
        <v>45786</v>
      </c>
      <c r="B316">
        <v>259.35000000000002</v>
      </c>
      <c r="C316">
        <v>202.2</v>
      </c>
      <c r="D316">
        <v>182.6</v>
      </c>
      <c r="E316">
        <v>157.5</v>
      </c>
      <c r="F316">
        <v>132.25</v>
      </c>
      <c r="G316">
        <v>143.35</v>
      </c>
      <c r="H316">
        <v>104.2</v>
      </c>
      <c r="I316">
        <v>105.5</v>
      </c>
      <c r="J316">
        <v>104.7</v>
      </c>
      <c r="K316">
        <v>108.8</v>
      </c>
      <c r="Q316">
        <v>7.7442251781330296E-2</v>
      </c>
      <c r="R316">
        <v>5.59722082168757E-2</v>
      </c>
      <c r="S316">
        <v>8.6786953650286394E-2</v>
      </c>
      <c r="T316">
        <v>7.4684347555671701E-2</v>
      </c>
      <c r="U316">
        <v>9.8783437515272507E-2</v>
      </c>
      <c r="V316">
        <v>0.3325084687991382</v>
      </c>
      <c r="W316">
        <v>8.6649556441016296E-2</v>
      </c>
      <c r="X316">
        <v>0.31512411196035239</v>
      </c>
      <c r="Y316">
        <v>0.38359664075304428</v>
      </c>
      <c r="Z316">
        <v>0.35268459234834398</v>
      </c>
    </row>
    <row r="317" spans="1:26" x14ac:dyDescent="0.4">
      <c r="A317" s="1">
        <v>45789</v>
      </c>
      <c r="B317">
        <v>257.60000000000002</v>
      </c>
      <c r="C317">
        <v>201.1</v>
      </c>
      <c r="D317">
        <v>181.85</v>
      </c>
      <c r="E317">
        <v>156.69999999999999</v>
      </c>
      <c r="F317">
        <v>132.44999999999999</v>
      </c>
      <c r="G317">
        <v>143</v>
      </c>
      <c r="H317">
        <v>104.3</v>
      </c>
      <c r="I317">
        <v>104.7</v>
      </c>
      <c r="J317">
        <v>105.7</v>
      </c>
      <c r="K317">
        <v>109.2</v>
      </c>
      <c r="Q317">
        <v>8.5532806329404701E-2</v>
      </c>
      <c r="R317">
        <v>6.8519116363410099E-2</v>
      </c>
      <c r="S317">
        <v>9.0841639719473996E-2</v>
      </c>
      <c r="T317">
        <v>8.2985282076242797E-2</v>
      </c>
      <c r="U317">
        <v>9.9062280103952696E-2</v>
      </c>
      <c r="V317">
        <v>0.34324367704019859</v>
      </c>
      <c r="W317">
        <v>8.7338965116681405E-2</v>
      </c>
      <c r="X317">
        <v>0.32648825103921247</v>
      </c>
      <c r="Y317">
        <v>0.3781872277131384</v>
      </c>
      <c r="Z317">
        <v>0.35130800150589397</v>
      </c>
    </row>
    <row r="318" spans="1:26" x14ac:dyDescent="0.4">
      <c r="A318" s="1">
        <v>45790</v>
      </c>
      <c r="B318">
        <v>258</v>
      </c>
      <c r="C318">
        <v>201.15</v>
      </c>
      <c r="D318">
        <v>181.9</v>
      </c>
      <c r="E318">
        <v>156.65</v>
      </c>
      <c r="F318">
        <v>133</v>
      </c>
      <c r="G318">
        <v>143.4</v>
      </c>
      <c r="H318">
        <v>104.1</v>
      </c>
      <c r="I318">
        <v>104.85</v>
      </c>
      <c r="J318">
        <v>105.9</v>
      </c>
      <c r="K318">
        <v>109.2</v>
      </c>
      <c r="Q318">
        <v>8.7720506285027602E-2</v>
      </c>
      <c r="R318">
        <v>7.4893616537259594E-2</v>
      </c>
      <c r="S318">
        <v>9.3277576876688195E-2</v>
      </c>
      <c r="T318">
        <v>8.8050804723495205E-2</v>
      </c>
      <c r="U318">
        <v>9.8919333958228606E-2</v>
      </c>
      <c r="V318">
        <v>0.3388325354439608</v>
      </c>
      <c r="W318">
        <v>9.1580124569502194E-2</v>
      </c>
      <c r="X318">
        <v>0.32574056922021588</v>
      </c>
      <c r="Y318">
        <v>0.3773341058368197</v>
      </c>
      <c r="Z318">
        <v>0.35263387098849969</v>
      </c>
    </row>
    <row r="319" spans="1:26" x14ac:dyDescent="0.4">
      <c r="A319" s="1">
        <v>45791</v>
      </c>
      <c r="B319">
        <v>258</v>
      </c>
      <c r="C319">
        <v>201.2</v>
      </c>
      <c r="D319">
        <v>183.15</v>
      </c>
      <c r="E319">
        <v>156.65</v>
      </c>
      <c r="F319">
        <v>133.5</v>
      </c>
      <c r="G319">
        <v>143.65</v>
      </c>
      <c r="H319">
        <v>104.3</v>
      </c>
      <c r="I319">
        <v>105.6</v>
      </c>
      <c r="J319">
        <v>105.9</v>
      </c>
      <c r="K319">
        <v>109.45</v>
      </c>
      <c r="Q319">
        <v>8.9094325447358597E-2</v>
      </c>
      <c r="R319">
        <v>7.6988956253367893E-2</v>
      </c>
      <c r="S319">
        <v>8.9626313911976396E-2</v>
      </c>
      <c r="T319">
        <v>8.9815968547365496E-2</v>
      </c>
      <c r="U319">
        <v>9.7605638489766097E-2</v>
      </c>
      <c r="V319">
        <v>0.33674638933409029</v>
      </c>
      <c r="W319">
        <v>9.1237988886332694E-2</v>
      </c>
      <c r="X319">
        <v>0.31841150612289892</v>
      </c>
      <c r="Y319">
        <v>0.37809457996174323</v>
      </c>
      <c r="Z319">
        <v>0.35033202168478128</v>
      </c>
    </row>
    <row r="320" spans="1:26" x14ac:dyDescent="0.4">
      <c r="A320" s="1">
        <v>45792</v>
      </c>
      <c r="B320">
        <v>258.7</v>
      </c>
      <c r="C320">
        <v>203</v>
      </c>
      <c r="D320">
        <v>183.45</v>
      </c>
      <c r="E320">
        <v>157.85</v>
      </c>
      <c r="F320">
        <v>133.85</v>
      </c>
      <c r="G320">
        <v>144.30000000000001</v>
      </c>
      <c r="H320">
        <v>104.65</v>
      </c>
      <c r="I320">
        <v>105.65</v>
      </c>
      <c r="J320">
        <v>105.9</v>
      </c>
      <c r="K320">
        <v>109</v>
      </c>
      <c r="Q320">
        <v>8.7891737834219996E-2</v>
      </c>
      <c r="R320">
        <v>6.3505067208089003E-2</v>
      </c>
      <c r="S320">
        <v>8.9499539084378701E-2</v>
      </c>
      <c r="T320">
        <v>8.2263854585160501E-2</v>
      </c>
      <c r="U320">
        <v>9.69433339445466E-2</v>
      </c>
      <c r="V320">
        <v>0.32843300978757112</v>
      </c>
      <c r="W320">
        <v>8.98411082372058E-2</v>
      </c>
      <c r="X320">
        <v>0.31875162125201451</v>
      </c>
      <c r="Y320">
        <v>0.380498486499525</v>
      </c>
      <c r="Z320">
        <v>0.36009841682867899</v>
      </c>
    </row>
    <row r="321" spans="1:27" x14ac:dyDescent="0.4">
      <c r="A321" s="1">
        <v>45793</v>
      </c>
      <c r="B321">
        <v>259.8</v>
      </c>
      <c r="C321">
        <v>203.5</v>
      </c>
      <c r="D321">
        <v>183.25</v>
      </c>
      <c r="E321">
        <v>158</v>
      </c>
      <c r="F321">
        <v>133.94999999999999</v>
      </c>
      <c r="G321">
        <v>144.30000000000001</v>
      </c>
      <c r="H321">
        <v>104.85</v>
      </c>
      <c r="I321">
        <v>105.5</v>
      </c>
      <c r="J321">
        <v>106.15</v>
      </c>
      <c r="K321">
        <v>109</v>
      </c>
      <c r="Q321">
        <v>8.6377008280850806E-2</v>
      </c>
      <c r="R321">
        <v>6.3744467608354102E-2</v>
      </c>
      <c r="S321">
        <v>9.2047931162428195E-2</v>
      </c>
      <c r="T321">
        <v>8.4332313814486706E-2</v>
      </c>
      <c r="U321">
        <v>9.80595302318472E-2</v>
      </c>
      <c r="V321">
        <v>0.33020543552650128</v>
      </c>
      <c r="W321">
        <v>9.0395720392705103E-2</v>
      </c>
      <c r="X321">
        <v>0.32128918377805771</v>
      </c>
      <c r="Y321">
        <v>0.37924177311471352</v>
      </c>
      <c r="Z321">
        <v>0.36147512586259772</v>
      </c>
    </row>
    <row r="322" spans="1:27" x14ac:dyDescent="0.4">
      <c r="A322" s="1">
        <v>45796</v>
      </c>
      <c r="B322">
        <v>259.2</v>
      </c>
      <c r="C322">
        <v>204.25</v>
      </c>
      <c r="D322">
        <v>183.5</v>
      </c>
      <c r="E322">
        <v>158.19999999999999</v>
      </c>
      <c r="F322">
        <v>133.80000000000001</v>
      </c>
      <c r="G322">
        <v>145</v>
      </c>
      <c r="H322">
        <v>104.6</v>
      </c>
      <c r="I322">
        <v>106.15</v>
      </c>
      <c r="J322">
        <v>106.85</v>
      </c>
      <c r="K322">
        <v>109.85</v>
      </c>
      <c r="Q322">
        <v>9.2772171892673297E-2</v>
      </c>
      <c r="R322">
        <v>6.4600802388611697E-2</v>
      </c>
      <c r="S322">
        <v>9.4103501280213595E-2</v>
      </c>
      <c r="T322">
        <v>8.8097722694338396E-2</v>
      </c>
      <c r="U322">
        <v>0.1012760770714511</v>
      </c>
      <c r="V322">
        <v>0.32460417853152601</v>
      </c>
      <c r="W322">
        <v>9.5409757043163901E-2</v>
      </c>
      <c r="X322">
        <v>0.31683166819268233</v>
      </c>
      <c r="Y322">
        <v>0.3758319288082827</v>
      </c>
      <c r="Z322">
        <v>0.35298092603198122</v>
      </c>
    </row>
    <row r="323" spans="1:27" x14ac:dyDescent="0.4">
      <c r="A323" s="1">
        <v>45797</v>
      </c>
      <c r="B323">
        <v>259.55</v>
      </c>
      <c r="C323">
        <v>204.5</v>
      </c>
      <c r="D323">
        <v>183.4</v>
      </c>
      <c r="E323">
        <v>158.30000000000001</v>
      </c>
      <c r="F323">
        <v>133.85</v>
      </c>
      <c r="G323">
        <v>145</v>
      </c>
      <c r="H323">
        <v>104.85</v>
      </c>
      <c r="I323">
        <v>106.85</v>
      </c>
      <c r="J323">
        <v>107.1</v>
      </c>
      <c r="K323">
        <v>109.95</v>
      </c>
      <c r="Q323">
        <v>9.2876892666567706E-2</v>
      </c>
      <c r="R323">
        <v>6.4897320228476996E-2</v>
      </c>
      <c r="S323">
        <v>9.5480850365214406E-2</v>
      </c>
      <c r="T323">
        <v>8.9109998196887197E-2</v>
      </c>
      <c r="U323">
        <v>0.10192073291249221</v>
      </c>
      <c r="V323">
        <v>0.32638702490664923</v>
      </c>
      <c r="W323">
        <v>9.4720581897274003E-2</v>
      </c>
      <c r="X323">
        <v>0.31006716920690358</v>
      </c>
      <c r="Y323">
        <v>0.37500852242398131</v>
      </c>
      <c r="Z323">
        <v>0.3533520893372758</v>
      </c>
    </row>
    <row r="324" spans="1:27" x14ac:dyDescent="0.4">
      <c r="A324" s="1">
        <v>45798</v>
      </c>
      <c r="B324">
        <v>260.25</v>
      </c>
      <c r="C324">
        <v>204.85</v>
      </c>
      <c r="D324">
        <v>183.8</v>
      </c>
      <c r="E324">
        <v>158.6</v>
      </c>
      <c r="F324">
        <v>134.05000000000001</v>
      </c>
      <c r="G324">
        <v>144.80000000000001</v>
      </c>
      <c r="H324">
        <v>105</v>
      </c>
      <c r="I324">
        <v>105.7</v>
      </c>
      <c r="J324">
        <v>106.45</v>
      </c>
      <c r="K324">
        <v>109.25</v>
      </c>
      <c r="Q324">
        <v>9.1677317882363094E-2</v>
      </c>
      <c r="R324">
        <v>6.4299888029782606E-2</v>
      </c>
      <c r="S324">
        <v>9.4989400702750096E-2</v>
      </c>
      <c r="T324">
        <v>8.8554360580048605E-2</v>
      </c>
      <c r="U324">
        <v>0.1019135063030206</v>
      </c>
      <c r="V324">
        <v>0.33136617411101682</v>
      </c>
      <c r="W324">
        <v>9.4745202033992795E-2</v>
      </c>
      <c r="X324">
        <v>0.32361154050274349</v>
      </c>
      <c r="Y324">
        <v>0.38146494791552987</v>
      </c>
      <c r="Z324">
        <v>0.36565931334311003</v>
      </c>
    </row>
    <row r="325" spans="1:27" x14ac:dyDescent="0.4">
      <c r="A325" s="1">
        <v>45799</v>
      </c>
      <c r="B325">
        <v>260.39999999999998</v>
      </c>
      <c r="C325">
        <v>204.85</v>
      </c>
      <c r="D325">
        <v>184.15</v>
      </c>
      <c r="E325">
        <v>158.69999999999999</v>
      </c>
      <c r="F325">
        <v>134.30000000000001</v>
      </c>
      <c r="G325">
        <v>144.80000000000001</v>
      </c>
      <c r="H325">
        <v>105.3</v>
      </c>
      <c r="I325">
        <v>105.6</v>
      </c>
      <c r="J325">
        <v>106</v>
      </c>
      <c r="K325">
        <v>109.2</v>
      </c>
      <c r="Q325">
        <v>9.2532243765049094E-2</v>
      </c>
      <c r="R325">
        <v>6.6864984713973799E-2</v>
      </c>
      <c r="S325">
        <v>9.4686688378639597E-2</v>
      </c>
      <c r="T325">
        <v>8.9577019483330106E-2</v>
      </c>
      <c r="U325">
        <v>0.1016896697050393</v>
      </c>
      <c r="V325">
        <v>0.33320824182652892</v>
      </c>
      <c r="W325">
        <v>9.3703807070474002E-2</v>
      </c>
      <c r="X325">
        <v>0.32564803312790053</v>
      </c>
      <c r="Y325">
        <v>0.38593587235244831</v>
      </c>
      <c r="Z325">
        <v>0.36784444076060119</v>
      </c>
    </row>
    <row r="326" spans="1:27" x14ac:dyDescent="0.4">
      <c r="A326" s="1">
        <v>45800</v>
      </c>
      <c r="B326">
        <v>260.95</v>
      </c>
      <c r="C326">
        <v>204.85</v>
      </c>
      <c r="D326">
        <v>184.4</v>
      </c>
      <c r="E326">
        <v>159.15</v>
      </c>
      <c r="F326">
        <v>134.69999999999999</v>
      </c>
      <c r="G326">
        <v>144.94999999999999</v>
      </c>
      <c r="H326">
        <v>105.35</v>
      </c>
      <c r="I326">
        <v>105.25</v>
      </c>
      <c r="J326">
        <v>105.25</v>
      </c>
      <c r="K326">
        <v>109.6</v>
      </c>
      <c r="Q326">
        <v>9.1895024588579594E-2</v>
      </c>
      <c r="R326">
        <v>6.9461111352872196E-2</v>
      </c>
      <c r="S326">
        <v>9.4759576676598303E-2</v>
      </c>
      <c r="T326">
        <v>8.7840635826607102E-2</v>
      </c>
      <c r="U326">
        <v>0.10081478863120499</v>
      </c>
      <c r="V326">
        <v>0.33265729477803718</v>
      </c>
      <c r="W326">
        <v>9.4442818609103502E-2</v>
      </c>
      <c r="X326">
        <v>0.33051567822218908</v>
      </c>
      <c r="Y326">
        <v>0.39355758193509638</v>
      </c>
      <c r="Z326">
        <v>0.36392075709964128</v>
      </c>
    </row>
    <row r="327" spans="1:27" x14ac:dyDescent="0.4">
      <c r="A327" s="1">
        <v>45803</v>
      </c>
      <c r="B327">
        <v>261.39999999999998</v>
      </c>
      <c r="C327">
        <v>204.95</v>
      </c>
      <c r="D327">
        <v>184.6</v>
      </c>
      <c r="E327">
        <v>159.35</v>
      </c>
      <c r="F327">
        <v>134.75</v>
      </c>
      <c r="G327">
        <v>145.5</v>
      </c>
      <c r="H327">
        <v>105.45</v>
      </c>
      <c r="I327">
        <v>105.4</v>
      </c>
      <c r="J327">
        <v>105.9</v>
      </c>
      <c r="K327">
        <v>109.5</v>
      </c>
      <c r="Q327">
        <v>9.4495345834326699E-2</v>
      </c>
      <c r="R327">
        <v>7.6510850200739694E-2</v>
      </c>
      <c r="S327">
        <v>9.7054319680610193E-2</v>
      </c>
      <c r="T327">
        <v>9.17499708258675E-2</v>
      </c>
      <c r="U327">
        <v>0.10320607475314029</v>
      </c>
      <c r="V327">
        <v>0.32936662507563219</v>
      </c>
      <c r="W327">
        <v>9.7039782163542296E-2</v>
      </c>
      <c r="X327">
        <v>0.33166041689777342</v>
      </c>
      <c r="Y327">
        <v>0.39056548125321999</v>
      </c>
      <c r="Z327">
        <v>0.36977731259690561</v>
      </c>
    </row>
    <row r="328" spans="1:27" x14ac:dyDescent="0.4">
      <c r="A328" s="1">
        <v>45804</v>
      </c>
      <c r="B328">
        <v>261.8</v>
      </c>
      <c r="C328">
        <v>204.5</v>
      </c>
      <c r="D328">
        <v>185.25</v>
      </c>
      <c r="E328">
        <v>159.6</v>
      </c>
      <c r="F328">
        <v>134.94999999999999</v>
      </c>
      <c r="G328">
        <v>145.6</v>
      </c>
      <c r="H328">
        <v>105.7</v>
      </c>
      <c r="I328">
        <v>106.9</v>
      </c>
      <c r="J328">
        <v>106.45</v>
      </c>
      <c r="K328">
        <v>109.75</v>
      </c>
      <c r="Q328">
        <v>9.4428939073032001E-2</v>
      </c>
      <c r="R328">
        <v>8.3466524621493399E-2</v>
      </c>
      <c r="S328">
        <v>9.5629666099594099E-2</v>
      </c>
      <c r="T328">
        <v>9.1606018214669099E-2</v>
      </c>
      <c r="U328">
        <v>0.1032064843729132</v>
      </c>
      <c r="V328">
        <v>0.3296125471655143</v>
      </c>
      <c r="W328">
        <v>9.6357969159362594E-2</v>
      </c>
      <c r="X328">
        <v>0.31573378303730348</v>
      </c>
      <c r="Y328">
        <v>0.38739717612328128</v>
      </c>
      <c r="Z328">
        <v>0.3680918208790887</v>
      </c>
    </row>
    <row r="329" spans="1:27" x14ac:dyDescent="0.4">
      <c r="A329" s="1">
        <v>45805</v>
      </c>
      <c r="B329">
        <v>262.89999999999998</v>
      </c>
      <c r="C329">
        <v>205.1</v>
      </c>
      <c r="D329">
        <v>186.3</v>
      </c>
      <c r="E329">
        <v>159.85</v>
      </c>
      <c r="F329">
        <v>135.5</v>
      </c>
      <c r="G329">
        <v>146</v>
      </c>
      <c r="H329">
        <v>106.4</v>
      </c>
      <c r="I329">
        <v>107.8</v>
      </c>
      <c r="J329">
        <v>107.9</v>
      </c>
      <c r="K329">
        <v>110.15</v>
      </c>
      <c r="Q329">
        <v>9.1728605769542296E-2</v>
      </c>
      <c r="R329">
        <v>8.0567497278713096E-2</v>
      </c>
      <c r="S329">
        <v>9.2715594695603296E-2</v>
      </c>
      <c r="T329">
        <v>9.1464397044068002E-2</v>
      </c>
      <c r="U329">
        <v>0.10168074772374</v>
      </c>
      <c r="V329">
        <v>0.32497186712433601</v>
      </c>
      <c r="W329">
        <v>9.2468038722071294E-2</v>
      </c>
      <c r="X329">
        <v>0.30669438786976561</v>
      </c>
      <c r="Y329">
        <v>0.37659998121344351</v>
      </c>
      <c r="Z329">
        <v>0.36377262768701218</v>
      </c>
    </row>
    <row r="330" spans="1:27" x14ac:dyDescent="0.4">
      <c r="A330" s="1">
        <v>45806</v>
      </c>
      <c r="B330">
        <v>263.35000000000002</v>
      </c>
      <c r="C330">
        <v>205.8</v>
      </c>
      <c r="D330">
        <v>186.6</v>
      </c>
      <c r="E330">
        <v>160.35</v>
      </c>
      <c r="F330">
        <v>136</v>
      </c>
      <c r="G330">
        <v>146.30000000000001</v>
      </c>
      <c r="H330">
        <v>106.55</v>
      </c>
      <c r="I330">
        <v>107.6</v>
      </c>
      <c r="J330">
        <v>108.15</v>
      </c>
      <c r="K330">
        <v>110.55</v>
      </c>
      <c r="Q330">
        <v>9.1475920900158894E-2</v>
      </c>
      <c r="R330">
        <v>7.6721735907762295E-2</v>
      </c>
      <c r="S330">
        <v>9.2610078331773205E-2</v>
      </c>
      <c r="T330">
        <v>8.9323658493658004E-2</v>
      </c>
      <c r="U330">
        <v>0.1003793427764698</v>
      </c>
      <c r="V330">
        <v>0.32194395656667107</v>
      </c>
      <c r="W330">
        <v>9.2504444305501907E-2</v>
      </c>
      <c r="X330">
        <v>0.30977887377507901</v>
      </c>
      <c r="Y330">
        <v>0.37558430756199551</v>
      </c>
      <c r="Z330">
        <v>0.3593903882902732</v>
      </c>
    </row>
    <row r="331" spans="1:27" x14ac:dyDescent="0.4">
      <c r="A331" s="1">
        <v>45807</v>
      </c>
      <c r="B331">
        <v>263.7</v>
      </c>
      <c r="C331">
        <v>206.9</v>
      </c>
      <c r="D331">
        <v>186.9</v>
      </c>
      <c r="E331">
        <v>160.6</v>
      </c>
      <c r="F331">
        <v>136.75</v>
      </c>
      <c r="G331">
        <v>147.4</v>
      </c>
      <c r="H331">
        <v>106.85</v>
      </c>
      <c r="I331">
        <v>108.7</v>
      </c>
      <c r="J331">
        <v>109</v>
      </c>
      <c r="K331">
        <v>111.1</v>
      </c>
      <c r="Q331">
        <v>9.1283126901100103E-2</v>
      </c>
      <c r="R331">
        <v>6.8504670100961604E-2</v>
      </c>
      <c r="S331">
        <v>9.2282546284969194E-2</v>
      </c>
      <c r="T331">
        <v>8.8771529426402401E-2</v>
      </c>
      <c r="U331">
        <v>9.7814450668182701E-2</v>
      </c>
      <c r="V331">
        <v>0.30598156230259971</v>
      </c>
      <c r="W331">
        <v>9.1233274154589997E-2</v>
      </c>
      <c r="X331">
        <v>0.29860847588063588</v>
      </c>
      <c r="Y331">
        <v>0.36976226988715771</v>
      </c>
      <c r="Z331">
        <v>0.35277386944267042</v>
      </c>
    </row>
    <row r="332" spans="1:27" x14ac:dyDescent="0.4">
      <c r="A332" s="1">
        <v>45810</v>
      </c>
      <c r="B332">
        <v>264.2</v>
      </c>
      <c r="C332">
        <v>206.35</v>
      </c>
      <c r="D332">
        <v>186.85</v>
      </c>
      <c r="E332">
        <v>160.85</v>
      </c>
      <c r="F332">
        <v>136.75</v>
      </c>
      <c r="G332">
        <v>147.9</v>
      </c>
      <c r="H332">
        <v>106.85</v>
      </c>
      <c r="I332">
        <v>109.15</v>
      </c>
      <c r="J332">
        <v>109.3</v>
      </c>
      <c r="K332">
        <v>111.15</v>
      </c>
      <c r="L332">
        <v>101.3</v>
      </c>
      <c r="Q332">
        <v>9.2789751103077606E-2</v>
      </c>
      <c r="R332">
        <v>8.0119872747296803E-2</v>
      </c>
      <c r="S332">
        <v>9.4861925188683499E-2</v>
      </c>
      <c r="T332">
        <v>9.1143714495813294E-2</v>
      </c>
      <c r="U332">
        <v>9.9860643995127299E-2</v>
      </c>
      <c r="V332">
        <v>0.30319775774435648</v>
      </c>
      <c r="W332">
        <v>9.3829916394907995E-2</v>
      </c>
      <c r="X332">
        <v>0.29628632914478742</v>
      </c>
      <c r="Y332">
        <v>0.36965105003421489</v>
      </c>
      <c r="Z332">
        <v>0.35628758555688461</v>
      </c>
      <c r="AA332">
        <v>0.30253558527755192</v>
      </c>
    </row>
    <row r="333" spans="1:27" x14ac:dyDescent="0.4">
      <c r="A333" s="1">
        <v>45811</v>
      </c>
      <c r="B333">
        <v>263.89999999999998</v>
      </c>
      <c r="C333">
        <v>206.2</v>
      </c>
      <c r="D333">
        <v>186.55</v>
      </c>
      <c r="E333">
        <v>160.55000000000001</v>
      </c>
      <c r="F333">
        <v>136.1</v>
      </c>
      <c r="G333">
        <v>147.69999999999999</v>
      </c>
      <c r="H333">
        <v>106.8</v>
      </c>
      <c r="I333">
        <v>109.7</v>
      </c>
      <c r="J333">
        <v>109.45</v>
      </c>
      <c r="K333">
        <v>111.1</v>
      </c>
      <c r="L333">
        <v>101.75</v>
      </c>
      <c r="Q333">
        <v>9.5073687622097294E-2</v>
      </c>
      <c r="R333">
        <v>8.3779290955660904E-2</v>
      </c>
      <c r="S333">
        <v>9.6798758563019602E-2</v>
      </c>
      <c r="T333">
        <v>9.5065690826397403E-2</v>
      </c>
      <c r="U333">
        <v>0.10338566094344639</v>
      </c>
      <c r="V333">
        <v>0.30823289730242459</v>
      </c>
      <c r="W333">
        <v>9.5062477650302707E-2</v>
      </c>
      <c r="X333">
        <v>0.29117096298631878</v>
      </c>
      <c r="Y333">
        <v>0.36932299299130328</v>
      </c>
      <c r="Z333">
        <v>0.358631487097541</v>
      </c>
      <c r="AA333">
        <v>0.29772743036854937</v>
      </c>
    </row>
    <row r="334" spans="1:27" x14ac:dyDescent="0.4">
      <c r="A334" s="1">
        <v>45812</v>
      </c>
      <c r="B334">
        <v>263.85000000000002</v>
      </c>
      <c r="C334">
        <v>205.2</v>
      </c>
      <c r="D334">
        <v>186.3</v>
      </c>
      <c r="E334">
        <v>160.55000000000001</v>
      </c>
      <c r="F334">
        <v>136</v>
      </c>
      <c r="G334">
        <v>147.4</v>
      </c>
      <c r="H334">
        <v>106.5</v>
      </c>
      <c r="I334">
        <v>109.1</v>
      </c>
      <c r="J334">
        <v>109.55</v>
      </c>
      <c r="K334">
        <v>111</v>
      </c>
      <c r="L334">
        <v>101.2</v>
      </c>
      <c r="Q334">
        <v>9.6418115199022603E-2</v>
      </c>
      <c r="R334">
        <v>9.5864289493122201E-2</v>
      </c>
      <c r="S334">
        <v>9.8557922554021099E-2</v>
      </c>
      <c r="T334">
        <v>9.6568848181135702E-2</v>
      </c>
      <c r="U334">
        <v>0.10452064826391751</v>
      </c>
      <c r="V334">
        <v>0.31499806524707141</v>
      </c>
      <c r="W334">
        <v>9.8106775923192904E-2</v>
      </c>
      <c r="X334">
        <v>0.29855583814773229</v>
      </c>
      <c r="Y334">
        <v>0.36957172026718949</v>
      </c>
      <c r="Z334">
        <v>0.36197489228091589</v>
      </c>
      <c r="AA334">
        <v>0.30574755434217621</v>
      </c>
    </row>
    <row r="335" spans="1:27" x14ac:dyDescent="0.4">
      <c r="A335" s="1">
        <v>45813</v>
      </c>
      <c r="B335">
        <v>263.45</v>
      </c>
      <c r="C335">
        <v>206.5</v>
      </c>
      <c r="D335">
        <v>185.2</v>
      </c>
      <c r="E335">
        <v>160.5</v>
      </c>
      <c r="F335">
        <v>135.55000000000001</v>
      </c>
      <c r="G335">
        <v>147.4</v>
      </c>
      <c r="H335">
        <v>106</v>
      </c>
      <c r="I335">
        <v>109.1</v>
      </c>
      <c r="J335">
        <v>108.8</v>
      </c>
      <c r="K335">
        <v>110.85</v>
      </c>
      <c r="L335">
        <v>101.2</v>
      </c>
      <c r="Q335">
        <v>9.9117362011056406E-2</v>
      </c>
      <c r="R335">
        <v>8.53468675877459E-2</v>
      </c>
      <c r="S335">
        <v>0.10358303200760111</v>
      </c>
      <c r="T335">
        <v>9.8496110991385999E-2</v>
      </c>
      <c r="U335">
        <v>0.10720750994164489</v>
      </c>
      <c r="V335">
        <v>0.3168651550281108</v>
      </c>
      <c r="W335">
        <v>0.1026381402640737</v>
      </c>
      <c r="X335">
        <v>0.29942600466556452</v>
      </c>
      <c r="Y335">
        <v>0.37674168748918752</v>
      </c>
      <c r="Z335">
        <v>0.36616133271098322</v>
      </c>
      <c r="AA335">
        <v>0.30672093858625099</v>
      </c>
    </row>
    <row r="336" spans="1:27" x14ac:dyDescent="0.4">
      <c r="A336" s="1">
        <v>45814</v>
      </c>
      <c r="B336">
        <v>263.89999999999998</v>
      </c>
      <c r="C336">
        <v>207</v>
      </c>
      <c r="D336">
        <v>186.65</v>
      </c>
      <c r="E336">
        <v>161.1</v>
      </c>
      <c r="F336">
        <v>135.9</v>
      </c>
      <c r="G336">
        <v>147.4</v>
      </c>
      <c r="H336">
        <v>106.3</v>
      </c>
      <c r="I336">
        <v>109.1</v>
      </c>
      <c r="J336">
        <v>109</v>
      </c>
      <c r="K336">
        <v>111.1</v>
      </c>
      <c r="L336">
        <v>101.3</v>
      </c>
      <c r="Q336">
        <v>9.8554667467400603E-2</v>
      </c>
      <c r="R336">
        <v>8.2704375109904402E-2</v>
      </c>
      <c r="S336">
        <v>9.8861128693924799E-2</v>
      </c>
      <c r="T336">
        <v>9.50781948339815E-2</v>
      </c>
      <c r="U336">
        <v>0.1063631115447138</v>
      </c>
      <c r="V336">
        <v>0.31875438621249391</v>
      </c>
      <c r="W336">
        <v>0.10134629097578619</v>
      </c>
      <c r="X336">
        <v>0.3003012326539809</v>
      </c>
      <c r="Y336">
        <v>0.37589801185081051</v>
      </c>
      <c r="Z336">
        <v>0.36375462327074548</v>
      </c>
      <c r="AA336">
        <v>0.30639874647333309</v>
      </c>
    </row>
    <row r="337" spans="1:27" x14ac:dyDescent="0.4">
      <c r="A337" s="1">
        <v>45817</v>
      </c>
      <c r="B337">
        <v>264</v>
      </c>
      <c r="C337">
        <v>207</v>
      </c>
      <c r="D337">
        <v>186.3</v>
      </c>
      <c r="E337">
        <v>161.4</v>
      </c>
      <c r="F337">
        <v>136.25</v>
      </c>
      <c r="G337">
        <v>147.25</v>
      </c>
      <c r="H337">
        <v>106.35</v>
      </c>
      <c r="I337">
        <v>109.3</v>
      </c>
      <c r="J337">
        <v>109.2</v>
      </c>
      <c r="K337">
        <v>111.2</v>
      </c>
      <c r="L337">
        <v>101.5</v>
      </c>
      <c r="Q337">
        <v>0.10346590596240381</v>
      </c>
      <c r="R337">
        <v>8.9603146496801594E-2</v>
      </c>
      <c r="S337">
        <v>0.1007583807610451</v>
      </c>
      <c r="T337">
        <v>0.10050415055384659</v>
      </c>
      <c r="U337">
        <v>0.1067105829860384</v>
      </c>
      <c r="V337">
        <v>0.32713018957972589</v>
      </c>
      <c r="W337">
        <v>0.1007630160811096</v>
      </c>
      <c r="X337">
        <v>0.3018448797985695</v>
      </c>
      <c r="Y337">
        <v>0.36776902937264061</v>
      </c>
      <c r="Z337">
        <v>0.36600613709619662</v>
      </c>
      <c r="AA337">
        <v>0.30609621491160582</v>
      </c>
    </row>
    <row r="338" spans="1:27" x14ac:dyDescent="0.4">
      <c r="A338" s="1">
        <v>45818</v>
      </c>
      <c r="B338">
        <v>264.3</v>
      </c>
      <c r="C338">
        <v>207.1</v>
      </c>
      <c r="D338">
        <v>187.25</v>
      </c>
      <c r="E338">
        <v>161.19999999999999</v>
      </c>
      <c r="F338">
        <v>136.4</v>
      </c>
      <c r="G338">
        <v>147.75</v>
      </c>
      <c r="H338">
        <v>106.85</v>
      </c>
      <c r="I338">
        <v>109.75</v>
      </c>
      <c r="J338">
        <v>110.65</v>
      </c>
      <c r="K338">
        <v>111</v>
      </c>
      <c r="L338">
        <v>101.6</v>
      </c>
      <c r="Q338">
        <v>0.10173653232698091</v>
      </c>
      <c r="R338">
        <v>9.0952377221762498E-2</v>
      </c>
      <c r="S338">
        <v>9.9864033147746195E-2</v>
      </c>
      <c r="T338">
        <v>0.100390177782456</v>
      </c>
      <c r="U338">
        <v>0.10697608323385489</v>
      </c>
      <c r="V338">
        <v>0.32052991550515803</v>
      </c>
      <c r="W338">
        <v>0.1009359265654837</v>
      </c>
      <c r="X338">
        <v>0.29663155503423</v>
      </c>
      <c r="Y338">
        <v>0.36588309603727021</v>
      </c>
      <c r="Z338">
        <v>0.37169996286800289</v>
      </c>
      <c r="AA338">
        <v>0.30641552108243592</v>
      </c>
    </row>
    <row r="339" spans="1:27" x14ac:dyDescent="0.4">
      <c r="A339" s="1">
        <v>45819</v>
      </c>
      <c r="B339">
        <v>264.64999999999998</v>
      </c>
      <c r="C339">
        <v>206.5</v>
      </c>
      <c r="D339">
        <v>187</v>
      </c>
      <c r="E339">
        <v>161.25</v>
      </c>
      <c r="F339">
        <v>136.5</v>
      </c>
      <c r="G339">
        <v>147.25</v>
      </c>
      <c r="H339">
        <v>106.65</v>
      </c>
      <c r="I339">
        <v>109.35</v>
      </c>
      <c r="J339">
        <v>110.2</v>
      </c>
      <c r="K339">
        <v>110.5</v>
      </c>
      <c r="L339">
        <v>101.35</v>
      </c>
      <c r="Q339">
        <v>0.1015676727314507</v>
      </c>
      <c r="R339">
        <v>9.9457498511111506E-2</v>
      </c>
      <c r="S339">
        <v>0.1016524011711247</v>
      </c>
      <c r="T339">
        <v>0.10153506106757421</v>
      </c>
      <c r="U339">
        <v>0.10724271183949979</v>
      </c>
      <c r="V339">
        <v>0.33115341855585029</v>
      </c>
      <c r="W339">
        <v>0.1033129052204599</v>
      </c>
      <c r="X339">
        <v>0.30195811343107531</v>
      </c>
      <c r="Y339">
        <v>0.37052870963140327</v>
      </c>
      <c r="Z339">
        <v>0.38159780418951639</v>
      </c>
      <c r="AA339">
        <v>0.31070627932969769</v>
      </c>
    </row>
    <row r="340" spans="1:27" x14ac:dyDescent="0.4">
      <c r="A340" s="1">
        <v>45820</v>
      </c>
      <c r="B340">
        <v>264.14999999999998</v>
      </c>
      <c r="C340">
        <v>206.25</v>
      </c>
      <c r="D340">
        <v>187.1</v>
      </c>
      <c r="E340">
        <v>161.25</v>
      </c>
      <c r="F340">
        <v>136.5</v>
      </c>
      <c r="G340">
        <v>148.30000000000001</v>
      </c>
      <c r="H340">
        <v>106.9</v>
      </c>
      <c r="I340">
        <v>109.75</v>
      </c>
      <c r="J340">
        <v>111</v>
      </c>
      <c r="K340">
        <v>110.55</v>
      </c>
      <c r="L340">
        <v>102.1</v>
      </c>
      <c r="Q340">
        <v>0.1047308308103404</v>
      </c>
      <c r="R340">
        <v>0.10450293459555569</v>
      </c>
      <c r="S340">
        <v>0.1021024288325395</v>
      </c>
      <c r="T340">
        <v>0.1031107568833762</v>
      </c>
      <c r="U340">
        <v>0.1079550857537261</v>
      </c>
      <c r="V340">
        <v>0.3149928658875964</v>
      </c>
      <c r="W340">
        <v>0.1023871939283927</v>
      </c>
      <c r="X340">
        <v>0.29839162951173992</v>
      </c>
      <c r="Y340">
        <v>0.36484749267112149</v>
      </c>
      <c r="Z340">
        <v>0.38239797383081098</v>
      </c>
      <c r="AA340">
        <v>0.3018353550561228</v>
      </c>
    </row>
    <row r="341" spans="1:27" x14ac:dyDescent="0.4">
      <c r="A341" s="1">
        <v>45821</v>
      </c>
      <c r="B341">
        <v>265.8</v>
      </c>
      <c r="C341">
        <v>207.4</v>
      </c>
      <c r="D341">
        <v>188.05</v>
      </c>
      <c r="E341">
        <v>161.9</v>
      </c>
      <c r="F341">
        <v>137.44999999999999</v>
      </c>
      <c r="G341">
        <v>148.75</v>
      </c>
      <c r="H341">
        <v>107.4</v>
      </c>
      <c r="I341">
        <v>110.5</v>
      </c>
      <c r="J341">
        <v>111.85</v>
      </c>
      <c r="K341">
        <v>111.95</v>
      </c>
      <c r="L341">
        <v>102.6</v>
      </c>
      <c r="Q341">
        <v>9.9475894431026501E-2</v>
      </c>
      <c r="R341">
        <v>9.5100624225079505E-2</v>
      </c>
      <c r="S341">
        <v>9.9289961035249397E-2</v>
      </c>
      <c r="T341">
        <v>9.9215436476218999E-2</v>
      </c>
      <c r="U341">
        <v>0.1044584125972421</v>
      </c>
      <c r="V341">
        <v>0.30919911997050192</v>
      </c>
      <c r="W341">
        <v>9.9630951688003802E-2</v>
      </c>
      <c r="X341">
        <v>0.29096709566801388</v>
      </c>
      <c r="Y341">
        <v>0.3590882286842863</v>
      </c>
      <c r="Z341">
        <v>0.3618134215615661</v>
      </c>
      <c r="AA341">
        <v>0.29628688918185159</v>
      </c>
    </row>
    <row r="342" spans="1:27" x14ac:dyDescent="0.4">
      <c r="A342" s="1">
        <v>45825</v>
      </c>
      <c r="B342">
        <v>265.75</v>
      </c>
      <c r="C342">
        <v>207.75</v>
      </c>
      <c r="D342">
        <v>187.8</v>
      </c>
      <c r="E342">
        <v>161.9</v>
      </c>
      <c r="F342">
        <v>136.55000000000001</v>
      </c>
      <c r="G342">
        <v>148.4</v>
      </c>
      <c r="H342">
        <v>106.5</v>
      </c>
      <c r="I342">
        <v>109.85</v>
      </c>
      <c r="J342">
        <v>111.1</v>
      </c>
      <c r="K342">
        <v>111.8</v>
      </c>
      <c r="L342">
        <v>101.849</v>
      </c>
      <c r="Q342">
        <v>0.1045189867482918</v>
      </c>
      <c r="R342">
        <v>0.1014059535236031</v>
      </c>
      <c r="S342">
        <v>0.1036077223943677</v>
      </c>
      <c r="T342">
        <v>0.1055962266822877</v>
      </c>
      <c r="U342">
        <v>0.11133207042175319</v>
      </c>
      <c r="V342">
        <v>0.32320248667989931</v>
      </c>
      <c r="W342">
        <v>0.109998812604925</v>
      </c>
      <c r="X342">
        <v>0.30175449215060252</v>
      </c>
      <c r="Y342">
        <v>0.36837974369492887</v>
      </c>
      <c r="Z342">
        <v>0.37065644440682499</v>
      </c>
      <c r="AA342">
        <v>0.31015814874729081</v>
      </c>
    </row>
    <row r="343" spans="1:27" x14ac:dyDescent="0.4">
      <c r="A343" s="1">
        <v>45826</v>
      </c>
      <c r="B343">
        <v>265.25</v>
      </c>
      <c r="C343">
        <v>207.95</v>
      </c>
      <c r="D343">
        <v>186.9</v>
      </c>
      <c r="E343">
        <v>162.1</v>
      </c>
      <c r="F343">
        <v>136.05000000000001</v>
      </c>
      <c r="G343">
        <v>147.85</v>
      </c>
      <c r="H343">
        <v>107.2</v>
      </c>
      <c r="I343">
        <v>108.65</v>
      </c>
      <c r="J343">
        <v>110.7</v>
      </c>
      <c r="K343">
        <v>112.1</v>
      </c>
      <c r="L343">
        <v>101.55</v>
      </c>
      <c r="Q343">
        <v>0.1077407292556762</v>
      </c>
      <c r="R343">
        <v>0.1018396767176222</v>
      </c>
      <c r="S343">
        <v>0.1079672705804227</v>
      </c>
      <c r="T343">
        <v>0.1055058682800554</v>
      </c>
      <c r="U343">
        <v>0.114318169272457</v>
      </c>
      <c r="V343">
        <v>0.33514106660645371</v>
      </c>
      <c r="W343">
        <v>0.10570636343331941</v>
      </c>
      <c r="X343">
        <v>0.3164006818231197</v>
      </c>
      <c r="Y343">
        <v>0.37261770712726089</v>
      </c>
      <c r="Z343">
        <v>0.3675981017127653</v>
      </c>
      <c r="AA343">
        <v>0.31521316521803938</v>
      </c>
    </row>
    <row r="344" spans="1:27" x14ac:dyDescent="0.4">
      <c r="A344" s="1">
        <v>45827</v>
      </c>
      <c r="B344">
        <v>266.25</v>
      </c>
      <c r="C344">
        <v>208</v>
      </c>
      <c r="D344">
        <v>188.15</v>
      </c>
      <c r="E344">
        <v>162.35</v>
      </c>
      <c r="F344">
        <v>137.5</v>
      </c>
      <c r="G344">
        <v>147.9</v>
      </c>
      <c r="H344">
        <v>107.1</v>
      </c>
      <c r="I344">
        <v>108.75</v>
      </c>
      <c r="J344">
        <v>110.85</v>
      </c>
      <c r="K344">
        <v>112.5</v>
      </c>
      <c r="L344">
        <v>101.789</v>
      </c>
      <c r="Q344">
        <v>0.10499924766680151</v>
      </c>
      <c r="R344">
        <v>0.10387950200841729</v>
      </c>
      <c r="S344">
        <v>0.1039489883826847</v>
      </c>
      <c r="T344">
        <v>0.1049868297813364</v>
      </c>
      <c r="U344">
        <v>0.108525728722165</v>
      </c>
      <c r="V344">
        <v>0.33638961551052837</v>
      </c>
      <c r="W344">
        <v>0.1073886358928801</v>
      </c>
      <c r="X344">
        <v>0.31620363727205941</v>
      </c>
      <c r="Y344">
        <v>0.37252601855664619</v>
      </c>
      <c r="Z344">
        <v>0.3631061111856817</v>
      </c>
      <c r="AA344">
        <v>0.31302701566511859</v>
      </c>
    </row>
    <row r="345" spans="1:27" x14ac:dyDescent="0.4">
      <c r="A345" s="1">
        <v>45831</v>
      </c>
      <c r="B345">
        <v>265.75</v>
      </c>
      <c r="C345">
        <v>208</v>
      </c>
      <c r="D345">
        <v>187.9</v>
      </c>
      <c r="E345">
        <v>162</v>
      </c>
      <c r="F345">
        <v>137</v>
      </c>
      <c r="G345">
        <v>147.94999999999999</v>
      </c>
      <c r="H345">
        <v>107.1</v>
      </c>
      <c r="I345">
        <v>107.5</v>
      </c>
      <c r="J345">
        <v>109.15</v>
      </c>
      <c r="K345">
        <v>111.5</v>
      </c>
      <c r="L345">
        <v>100.99</v>
      </c>
      <c r="Q345">
        <v>0.1091561168806184</v>
      </c>
      <c r="R345">
        <v>0.10840548033075161</v>
      </c>
      <c r="S345">
        <v>0.1063946019181136</v>
      </c>
      <c r="T345">
        <v>0.11088922292571091</v>
      </c>
      <c r="U345">
        <v>0.1120393094854451</v>
      </c>
      <c r="V345">
        <v>0.3443414321128081</v>
      </c>
      <c r="W345">
        <v>0.1090234414731272</v>
      </c>
      <c r="X345">
        <v>0.33494991060422741</v>
      </c>
      <c r="Y345">
        <v>0.3901660557594579</v>
      </c>
      <c r="Z345">
        <v>0.38632526351959268</v>
      </c>
      <c r="AA345">
        <v>0.32827780049461353</v>
      </c>
    </row>
    <row r="346" spans="1:27" x14ac:dyDescent="0.4">
      <c r="A346" s="1">
        <v>45832</v>
      </c>
      <c r="B346">
        <v>265.89999999999998</v>
      </c>
      <c r="C346">
        <v>208.4</v>
      </c>
      <c r="D346">
        <v>188.1</v>
      </c>
      <c r="E346">
        <v>162</v>
      </c>
      <c r="F346">
        <v>137</v>
      </c>
      <c r="G346">
        <v>148.05000000000001</v>
      </c>
      <c r="H346">
        <v>107.35</v>
      </c>
      <c r="I346">
        <v>107.3</v>
      </c>
      <c r="J346">
        <v>109.2</v>
      </c>
      <c r="K346">
        <v>111.85</v>
      </c>
      <c r="L346">
        <v>100.735</v>
      </c>
      <c r="Q346">
        <v>0.1117378216821253</v>
      </c>
      <c r="R346">
        <v>0.1107864459882507</v>
      </c>
      <c r="S346">
        <v>0.10779175075633859</v>
      </c>
      <c r="T346">
        <v>0.1151315749229435</v>
      </c>
      <c r="U346">
        <v>0.1138826561856742</v>
      </c>
      <c r="V346">
        <v>0.34474835784241609</v>
      </c>
      <c r="W346">
        <v>0.10953243096862619</v>
      </c>
      <c r="X346">
        <v>0.3384061221717537</v>
      </c>
      <c r="Y346">
        <v>0.39067752128697297</v>
      </c>
      <c r="Z346">
        <v>0.38224389249931751</v>
      </c>
      <c r="AA346">
        <v>0.33296454037837891</v>
      </c>
    </row>
    <row r="347" spans="1:27" x14ac:dyDescent="0.4">
      <c r="A347" s="1">
        <v>45833</v>
      </c>
      <c r="B347">
        <v>265.3</v>
      </c>
      <c r="C347">
        <v>207.9</v>
      </c>
      <c r="D347">
        <v>187.2</v>
      </c>
      <c r="E347">
        <v>161.9</v>
      </c>
      <c r="F347">
        <v>136.05000000000001</v>
      </c>
      <c r="G347">
        <v>147.9</v>
      </c>
      <c r="H347">
        <v>106.75</v>
      </c>
      <c r="I347">
        <v>107.1</v>
      </c>
      <c r="J347">
        <v>108.9</v>
      </c>
      <c r="K347">
        <v>111.7</v>
      </c>
      <c r="L347">
        <v>100.45</v>
      </c>
      <c r="Q347">
        <v>0.11546943844404831</v>
      </c>
      <c r="R347">
        <v>0.11910338192718881</v>
      </c>
      <c r="S347">
        <v>0.1122269566484595</v>
      </c>
      <c r="T347">
        <v>0.1177403272928223</v>
      </c>
      <c r="U347">
        <v>0.1189682220026612</v>
      </c>
      <c r="V347">
        <v>0.34989725424480589</v>
      </c>
      <c r="W347">
        <v>0.11505401312680159</v>
      </c>
      <c r="X347">
        <v>0.34189457295935471</v>
      </c>
      <c r="Y347">
        <v>0.39409420431605469</v>
      </c>
      <c r="Z347">
        <v>0.38647468866704149</v>
      </c>
      <c r="AA347">
        <v>0.33813034799206509</v>
      </c>
    </row>
    <row r="348" spans="1:27" x14ac:dyDescent="0.4">
      <c r="A348" s="1">
        <v>45834</v>
      </c>
      <c r="B348">
        <v>264</v>
      </c>
      <c r="C348">
        <v>207.55</v>
      </c>
      <c r="D348">
        <v>186.4</v>
      </c>
      <c r="E348">
        <v>160.6</v>
      </c>
      <c r="F348">
        <v>135.75</v>
      </c>
      <c r="G348">
        <v>147.15</v>
      </c>
      <c r="H348">
        <v>105.95</v>
      </c>
      <c r="I348">
        <v>106.15</v>
      </c>
      <c r="J348">
        <v>107.7</v>
      </c>
      <c r="K348">
        <v>110.6</v>
      </c>
      <c r="L348">
        <v>99.25</v>
      </c>
      <c r="Q348">
        <v>0.1221347493821619</v>
      </c>
      <c r="R348">
        <v>0.12588915521989369</v>
      </c>
      <c r="S348">
        <v>0.11631221288079149</v>
      </c>
      <c r="T348">
        <v>0.1312272477156525</v>
      </c>
      <c r="U348">
        <v>0.12110691267229599</v>
      </c>
      <c r="V348">
        <v>0.36671977462306232</v>
      </c>
      <c r="W348">
        <v>0.1222023704912532</v>
      </c>
      <c r="X348">
        <v>0.3546890229991298</v>
      </c>
      <c r="Y348">
        <v>0.40559780276546947</v>
      </c>
      <c r="Z348">
        <v>0.40742744864209901</v>
      </c>
      <c r="AA348">
        <v>0.35659257011567158</v>
      </c>
    </row>
    <row r="349" spans="1:27" x14ac:dyDescent="0.4">
      <c r="A349" s="1">
        <v>45835</v>
      </c>
      <c r="B349">
        <v>264.8</v>
      </c>
      <c r="C349">
        <v>208</v>
      </c>
      <c r="D349">
        <v>186.75</v>
      </c>
      <c r="E349">
        <v>161.55000000000001</v>
      </c>
      <c r="F349">
        <v>136.1</v>
      </c>
      <c r="G349">
        <v>148.15</v>
      </c>
      <c r="H349">
        <v>105.7</v>
      </c>
      <c r="I349">
        <v>106.9</v>
      </c>
      <c r="J349">
        <v>108.45</v>
      </c>
      <c r="K349">
        <v>111.2</v>
      </c>
      <c r="L349">
        <v>100</v>
      </c>
      <c r="Q349">
        <v>0.12014435389848339</v>
      </c>
      <c r="R349">
        <v>0.1236500574477957</v>
      </c>
      <c r="S349">
        <v>0.11580291345530461</v>
      </c>
      <c r="T349">
        <v>0.1243902498913065</v>
      </c>
      <c r="U349">
        <v>0.1202481426033663</v>
      </c>
      <c r="V349">
        <v>0.34983450848556719</v>
      </c>
      <c r="W349">
        <v>0.1251524997855058</v>
      </c>
      <c r="X349">
        <v>0.3465008649898802</v>
      </c>
      <c r="Y349">
        <v>0.40014775244262268</v>
      </c>
      <c r="Z349">
        <v>0.39906962698503468</v>
      </c>
      <c r="AA349">
        <v>0.34691630332078849</v>
      </c>
    </row>
    <row r="350" spans="1:27" x14ac:dyDescent="0.4">
      <c r="A350" s="1">
        <v>45838</v>
      </c>
      <c r="B350">
        <v>265.2</v>
      </c>
      <c r="C350">
        <v>208.4</v>
      </c>
      <c r="D350">
        <v>186.55</v>
      </c>
      <c r="E350">
        <v>162.15</v>
      </c>
      <c r="F350">
        <v>136</v>
      </c>
      <c r="G350">
        <v>148.19999999999999</v>
      </c>
      <c r="H350">
        <v>106.75</v>
      </c>
      <c r="I350">
        <v>105.25</v>
      </c>
      <c r="J350">
        <v>106.9</v>
      </c>
      <c r="K350">
        <v>110.8</v>
      </c>
      <c r="L350">
        <v>99.748999999999995</v>
      </c>
      <c r="Q350">
        <v>0.1215484008176366</v>
      </c>
      <c r="R350">
        <v>0.12350843762414659</v>
      </c>
      <c r="S350">
        <v>0.12020389211730489</v>
      </c>
      <c r="T350">
        <v>0.12031456480568239</v>
      </c>
      <c r="U350">
        <v>0.1200179986300224</v>
      </c>
      <c r="V350">
        <v>0.35610380208611431</v>
      </c>
      <c r="W350">
        <v>0.11850898429993301</v>
      </c>
      <c r="X350">
        <v>0.36746250365497291</v>
      </c>
      <c r="Y350">
        <v>0.41213308267863319</v>
      </c>
      <c r="Z350">
        <v>0.4081420280129181</v>
      </c>
      <c r="AA350">
        <v>0.35420928086950021</v>
      </c>
    </row>
    <row r="351" spans="1:27" x14ac:dyDescent="0.4">
      <c r="A351" s="1">
        <v>45839</v>
      </c>
      <c r="B351">
        <v>265.2</v>
      </c>
      <c r="C351">
        <v>209</v>
      </c>
      <c r="D351">
        <v>186.05</v>
      </c>
      <c r="E351">
        <v>162.35</v>
      </c>
      <c r="F351">
        <v>135.9</v>
      </c>
      <c r="G351">
        <v>147.5</v>
      </c>
      <c r="H351">
        <v>107.5</v>
      </c>
      <c r="I351">
        <v>105.35</v>
      </c>
      <c r="J351">
        <v>106.45</v>
      </c>
      <c r="K351">
        <v>110.75</v>
      </c>
      <c r="L351">
        <v>98.644000000000005</v>
      </c>
      <c r="Q351">
        <v>0.1233838788952909</v>
      </c>
      <c r="R351">
        <v>0.1228460549737798</v>
      </c>
      <c r="S351">
        <v>0.1219672534822162</v>
      </c>
      <c r="T351">
        <v>0.1236960194113645</v>
      </c>
      <c r="U351">
        <v>0.1239844864618818</v>
      </c>
      <c r="V351">
        <v>0.37251657502481822</v>
      </c>
      <c r="W351">
        <v>0.1148593200013836</v>
      </c>
      <c r="X351">
        <v>0.37056598764699239</v>
      </c>
      <c r="Y351">
        <v>0.42157062888595959</v>
      </c>
      <c r="Z351">
        <v>0.41445454896890738</v>
      </c>
      <c r="AA351">
        <v>0.37191852179284263</v>
      </c>
    </row>
    <row r="352" spans="1:27" x14ac:dyDescent="0.4">
      <c r="A352" s="1">
        <v>45840</v>
      </c>
      <c r="B352">
        <v>267</v>
      </c>
      <c r="C352">
        <v>209.8</v>
      </c>
      <c r="D352">
        <v>187.3</v>
      </c>
      <c r="E352">
        <v>163.44999999999999</v>
      </c>
      <c r="F352">
        <v>136.69999999999999</v>
      </c>
      <c r="G352">
        <v>148.5</v>
      </c>
      <c r="H352">
        <v>107.55</v>
      </c>
      <c r="I352">
        <v>106.6</v>
      </c>
      <c r="J352">
        <v>107.85</v>
      </c>
      <c r="K352">
        <v>111.55</v>
      </c>
      <c r="L352">
        <v>99.65</v>
      </c>
      <c r="Q352">
        <v>0.11678004566121419</v>
      </c>
      <c r="R352">
        <v>0.1155587665538842</v>
      </c>
      <c r="S352">
        <v>0.11750330591095989</v>
      </c>
      <c r="T352">
        <v>0.1149075468153138</v>
      </c>
      <c r="U352">
        <v>0.12078213224589721</v>
      </c>
      <c r="V352">
        <v>0.355133825315675</v>
      </c>
      <c r="W352">
        <v>0.11513511461844959</v>
      </c>
      <c r="X352">
        <v>0.35580351720455788</v>
      </c>
      <c r="Y352">
        <v>0.41034262266058219</v>
      </c>
      <c r="Z352">
        <v>0.40262035537490609</v>
      </c>
      <c r="AA352">
        <v>0.35815864021372318</v>
      </c>
    </row>
    <row r="353" spans="1:27" x14ac:dyDescent="0.4">
      <c r="A353" s="1">
        <v>45841</v>
      </c>
      <c r="B353">
        <v>267.5</v>
      </c>
      <c r="C353">
        <v>210</v>
      </c>
      <c r="D353">
        <v>188.5</v>
      </c>
      <c r="E353">
        <v>163.5</v>
      </c>
      <c r="F353">
        <v>137.1</v>
      </c>
      <c r="G353">
        <v>148.80000000000001</v>
      </c>
      <c r="H353">
        <v>107.75</v>
      </c>
      <c r="I353">
        <v>106.65</v>
      </c>
      <c r="J353">
        <v>108</v>
      </c>
      <c r="K353">
        <v>111.85</v>
      </c>
      <c r="L353">
        <v>99.661000000000001</v>
      </c>
      <c r="Q353">
        <v>0.1155947717179147</v>
      </c>
      <c r="R353">
        <v>0.1151870169058665</v>
      </c>
      <c r="S353">
        <v>0.11327465067247421</v>
      </c>
      <c r="T353">
        <v>0.11563734696894069</v>
      </c>
      <c r="U353">
        <v>0.11944510167090799</v>
      </c>
      <c r="V353">
        <v>0.35166716252850772</v>
      </c>
      <c r="W353">
        <v>0.1142572048588593</v>
      </c>
      <c r="X353">
        <v>0.35631139567904502</v>
      </c>
      <c r="Y353">
        <v>0.41014166481036651</v>
      </c>
      <c r="Z353">
        <v>0.39944738741143598</v>
      </c>
      <c r="AA353">
        <v>0.35925545826290289</v>
      </c>
    </row>
    <row r="354" spans="1:27" x14ac:dyDescent="0.4">
      <c r="A354" s="1">
        <v>45842</v>
      </c>
      <c r="B354">
        <v>267.85000000000002</v>
      </c>
      <c r="C354">
        <v>210.7</v>
      </c>
      <c r="D354">
        <v>188.75</v>
      </c>
      <c r="E354">
        <v>163.80000000000001</v>
      </c>
      <c r="F354">
        <v>137.35</v>
      </c>
      <c r="G354">
        <v>149.44999999999999</v>
      </c>
      <c r="H354">
        <v>107.9</v>
      </c>
      <c r="I354">
        <v>106.8</v>
      </c>
      <c r="J354">
        <v>108.85</v>
      </c>
      <c r="K354">
        <v>112.65</v>
      </c>
      <c r="L354">
        <v>99.89</v>
      </c>
      <c r="Q354">
        <v>0.11503035017845691</v>
      </c>
      <c r="R354">
        <v>0.1090139284622058</v>
      </c>
      <c r="S354">
        <v>0.11287236880662969</v>
      </c>
      <c r="T354">
        <v>0.1141018141074332</v>
      </c>
      <c r="U354">
        <v>0.1188029156880808</v>
      </c>
      <c r="V354">
        <v>0.3412582602929648</v>
      </c>
      <c r="W354">
        <v>0.11376367086116521</v>
      </c>
      <c r="X354">
        <v>0.35555566155219231</v>
      </c>
      <c r="Y354">
        <v>0.40376113154527221</v>
      </c>
      <c r="Z354">
        <v>0.38752494166638513</v>
      </c>
      <c r="AA354">
        <v>0.3571116002202529</v>
      </c>
    </row>
    <row r="355" spans="1:27" x14ac:dyDescent="0.4">
      <c r="A355" s="1">
        <v>45845</v>
      </c>
      <c r="B355">
        <v>268.3</v>
      </c>
      <c r="C355">
        <v>211.2</v>
      </c>
      <c r="D355">
        <v>189</v>
      </c>
      <c r="E355">
        <v>163.75</v>
      </c>
      <c r="F355">
        <v>137.5</v>
      </c>
      <c r="G355">
        <v>149.15</v>
      </c>
      <c r="H355">
        <v>107.75</v>
      </c>
      <c r="I355">
        <v>106</v>
      </c>
      <c r="J355">
        <v>108.95</v>
      </c>
      <c r="K355">
        <v>112.3</v>
      </c>
      <c r="L355">
        <v>99.7</v>
      </c>
      <c r="Q355">
        <v>0.11639221011843651</v>
      </c>
      <c r="R355">
        <v>0.11019780581878499</v>
      </c>
      <c r="S355">
        <v>0.1140556324977433</v>
      </c>
      <c r="T355">
        <v>0.1189052742502693</v>
      </c>
      <c r="U355">
        <v>0.1199692062940742</v>
      </c>
      <c r="V355">
        <v>0.35468933091625671</v>
      </c>
      <c r="W355">
        <v>0.1173396905455515</v>
      </c>
      <c r="X355">
        <v>0.3693299705917153</v>
      </c>
      <c r="Y355">
        <v>0.40578581789603652</v>
      </c>
      <c r="Z355">
        <v>0.39938972296275399</v>
      </c>
      <c r="AA355">
        <v>0.36379483884845271</v>
      </c>
    </row>
    <row r="356" spans="1:27" x14ac:dyDescent="0.4">
      <c r="A356" s="1">
        <v>45846</v>
      </c>
      <c r="B356">
        <v>268.64999999999998</v>
      </c>
      <c r="C356">
        <v>211.65</v>
      </c>
      <c r="D356">
        <v>189</v>
      </c>
      <c r="E356">
        <v>164.25</v>
      </c>
      <c r="F356">
        <v>137.44999999999999</v>
      </c>
      <c r="G356">
        <v>149.85</v>
      </c>
      <c r="H356">
        <v>108.2</v>
      </c>
      <c r="I356">
        <v>107.4</v>
      </c>
      <c r="J356">
        <v>109.6</v>
      </c>
      <c r="K356">
        <v>112.85</v>
      </c>
      <c r="L356">
        <v>100.75</v>
      </c>
      <c r="Q356">
        <v>0.1158277920876709</v>
      </c>
      <c r="R356">
        <v>0.10685137166403461</v>
      </c>
      <c r="S356">
        <v>0.114664151633198</v>
      </c>
      <c r="T356">
        <v>0.1155178113181561</v>
      </c>
      <c r="U356">
        <v>0.1207200929656129</v>
      </c>
      <c r="V356">
        <v>0.34303817407083659</v>
      </c>
      <c r="W356">
        <v>0.11451907239801171</v>
      </c>
      <c r="X356">
        <v>0.35252153090845728</v>
      </c>
      <c r="Y356">
        <v>0.4011133706797067</v>
      </c>
      <c r="Z356">
        <v>0.39165640507679461</v>
      </c>
      <c r="AA356">
        <v>0.34934737850987341</v>
      </c>
    </row>
    <row r="357" spans="1:27" x14ac:dyDescent="0.4">
      <c r="A357" s="1">
        <v>45848</v>
      </c>
      <c r="B357">
        <v>269.25</v>
      </c>
      <c r="C357">
        <v>211.5</v>
      </c>
      <c r="D357">
        <v>189.2</v>
      </c>
      <c r="E357">
        <v>164.6</v>
      </c>
      <c r="F357">
        <v>137.65</v>
      </c>
      <c r="G357">
        <v>150.69999999999999</v>
      </c>
      <c r="H357">
        <v>108.25</v>
      </c>
      <c r="I357">
        <v>108.1</v>
      </c>
      <c r="J357">
        <v>109.55</v>
      </c>
      <c r="K357">
        <v>112.85</v>
      </c>
      <c r="L357">
        <v>101.3</v>
      </c>
      <c r="Q357">
        <v>0.1145546546978129</v>
      </c>
      <c r="R357">
        <v>0.1113222398724938</v>
      </c>
      <c r="S357">
        <v>0.11469613555331309</v>
      </c>
      <c r="T357">
        <v>0.1139596330626558</v>
      </c>
      <c r="U357">
        <v>0.1205119114001006</v>
      </c>
      <c r="V357">
        <v>0.33079949875431403</v>
      </c>
      <c r="W357">
        <v>0.11505467744998731</v>
      </c>
      <c r="X357">
        <v>0.3459281519854705</v>
      </c>
      <c r="Y357">
        <v>0.40358510166948458</v>
      </c>
      <c r="Z357">
        <v>0.39563568696383578</v>
      </c>
      <c r="AA357">
        <v>0.34367505769309659</v>
      </c>
    </row>
    <row r="358" spans="1:27" x14ac:dyDescent="0.4">
      <c r="A358" s="1">
        <v>45849</v>
      </c>
      <c r="B358">
        <v>270.2</v>
      </c>
      <c r="C358">
        <v>212.8</v>
      </c>
      <c r="D358">
        <v>189.55</v>
      </c>
      <c r="E358">
        <v>165.05</v>
      </c>
      <c r="F358">
        <v>138</v>
      </c>
      <c r="G358">
        <v>151.30000000000001</v>
      </c>
      <c r="H358">
        <v>108.4</v>
      </c>
      <c r="I358">
        <v>109.2</v>
      </c>
      <c r="J358">
        <v>109.2</v>
      </c>
      <c r="K358">
        <v>113.05</v>
      </c>
      <c r="L358">
        <v>101.75</v>
      </c>
      <c r="Q358">
        <v>0.1114708505459476</v>
      </c>
      <c r="R358">
        <v>9.7802004122025304E-2</v>
      </c>
      <c r="S358">
        <v>0.1138890582568361</v>
      </c>
      <c r="T358">
        <v>0.1110144721416398</v>
      </c>
      <c r="U358">
        <v>0.11940312659510879</v>
      </c>
      <c r="V358">
        <v>0.32113193760845671</v>
      </c>
      <c r="W358">
        <v>0.11456070992742561</v>
      </c>
      <c r="X358">
        <v>0.33326008298084447</v>
      </c>
      <c r="Y358">
        <v>0.40760164074144078</v>
      </c>
      <c r="Z358">
        <v>0.393927442743497</v>
      </c>
      <c r="AA358">
        <v>0.33826013684523182</v>
      </c>
    </row>
    <row r="359" spans="1:27" x14ac:dyDescent="0.4">
      <c r="A359" s="1">
        <v>45852</v>
      </c>
      <c r="B359">
        <v>269.95</v>
      </c>
      <c r="C359">
        <v>213.15</v>
      </c>
      <c r="D359">
        <v>189.85</v>
      </c>
      <c r="E359">
        <v>165.2</v>
      </c>
      <c r="F359">
        <v>137.69999999999999</v>
      </c>
      <c r="G359">
        <v>150.19999999999999</v>
      </c>
      <c r="H359">
        <v>108.6</v>
      </c>
      <c r="I359">
        <v>108.55</v>
      </c>
      <c r="J359">
        <v>108.9</v>
      </c>
      <c r="K359">
        <v>112.75</v>
      </c>
      <c r="L359">
        <v>102.85</v>
      </c>
      <c r="Q359">
        <v>0.1140988834050455</v>
      </c>
      <c r="R359">
        <v>9.6854061827215995E-2</v>
      </c>
      <c r="S359">
        <v>0.11374506966536831</v>
      </c>
      <c r="T359">
        <v>0.1117302360360793</v>
      </c>
      <c r="U359">
        <v>0.12173480787257999</v>
      </c>
      <c r="V359">
        <v>0.35117103664558852</v>
      </c>
      <c r="W359">
        <v>0.11418479208557129</v>
      </c>
      <c r="X359">
        <v>0.34475082132510287</v>
      </c>
      <c r="Y359">
        <v>0.41283977984362941</v>
      </c>
      <c r="Z359">
        <v>0.40477860498835788</v>
      </c>
      <c r="AA359">
        <v>0.32574652132399939</v>
      </c>
    </row>
    <row r="360" spans="1:27" x14ac:dyDescent="0.4">
      <c r="A360" s="1">
        <v>45853</v>
      </c>
      <c r="B360">
        <v>268</v>
      </c>
      <c r="C360">
        <v>211.5</v>
      </c>
      <c r="D360">
        <v>188.25</v>
      </c>
      <c r="E360">
        <v>164</v>
      </c>
      <c r="F360">
        <v>136.05000000000001</v>
      </c>
      <c r="G360">
        <v>149.4</v>
      </c>
      <c r="H360">
        <v>107.8</v>
      </c>
      <c r="I360">
        <v>106.45</v>
      </c>
      <c r="J360">
        <v>107.75</v>
      </c>
      <c r="K360">
        <v>112.4</v>
      </c>
      <c r="L360">
        <v>99.5</v>
      </c>
      <c r="Q360">
        <v>0.12450509780602</v>
      </c>
      <c r="R360">
        <v>0.12169267292533741</v>
      </c>
      <c r="S360">
        <v>0.1217084887330017</v>
      </c>
      <c r="T360">
        <v>0.1258401402280121</v>
      </c>
      <c r="U360">
        <v>0.13074229137547669</v>
      </c>
      <c r="V360">
        <v>0.37095090431445649</v>
      </c>
      <c r="W360">
        <v>0.1220159652741982</v>
      </c>
      <c r="X360">
        <v>0.37320676065014291</v>
      </c>
      <c r="Y360">
        <v>0.42373578827902281</v>
      </c>
      <c r="Z360">
        <v>0.41254932255256022</v>
      </c>
      <c r="AA360">
        <v>0.37760976706170019</v>
      </c>
    </row>
    <row r="361" spans="1:27" x14ac:dyDescent="0.4">
      <c r="A361" s="1">
        <v>45854</v>
      </c>
      <c r="B361">
        <v>267</v>
      </c>
      <c r="C361">
        <v>211.5</v>
      </c>
      <c r="D361">
        <v>188.4</v>
      </c>
      <c r="E361">
        <v>164</v>
      </c>
      <c r="F361">
        <v>136</v>
      </c>
      <c r="G361">
        <v>149.4</v>
      </c>
      <c r="H361">
        <v>108.5</v>
      </c>
      <c r="I361">
        <v>106.6</v>
      </c>
      <c r="J361">
        <v>107.85</v>
      </c>
      <c r="K361">
        <v>112.6</v>
      </c>
      <c r="L361">
        <v>99.5</v>
      </c>
      <c r="Q361">
        <v>0.1298075582346063</v>
      </c>
      <c r="R361">
        <v>0.1238606437184276</v>
      </c>
      <c r="S361">
        <v>0.12172318344154449</v>
      </c>
      <c r="T361">
        <v>0.12713773204433149</v>
      </c>
      <c r="U361">
        <v>0.1315300217224073</v>
      </c>
      <c r="V361">
        <v>0.37379952618217138</v>
      </c>
      <c r="W361">
        <v>0.11717551598289</v>
      </c>
      <c r="X361">
        <v>0.37246025929679483</v>
      </c>
      <c r="Y361">
        <v>0.42378902781535882</v>
      </c>
      <c r="Z361">
        <v>0.41083783852560002</v>
      </c>
      <c r="AA361">
        <v>0.37900263860148098</v>
      </c>
    </row>
    <row r="362" spans="1:27" x14ac:dyDescent="0.4">
      <c r="A362" s="1">
        <v>45855</v>
      </c>
      <c r="B362">
        <v>266</v>
      </c>
      <c r="C362">
        <v>211</v>
      </c>
      <c r="D362">
        <v>187</v>
      </c>
      <c r="E362">
        <v>162.94999999999999</v>
      </c>
      <c r="F362">
        <v>135.4</v>
      </c>
      <c r="G362">
        <v>147.69999999999999</v>
      </c>
      <c r="H362">
        <v>106.5</v>
      </c>
      <c r="I362">
        <v>105.35</v>
      </c>
      <c r="J362">
        <v>107.15</v>
      </c>
      <c r="K362">
        <v>111.4</v>
      </c>
      <c r="L362">
        <v>98.739000000000004</v>
      </c>
      <c r="Q362">
        <v>0.1351820904070653</v>
      </c>
      <c r="R362">
        <v>0.13243355294440051</v>
      </c>
      <c r="S362">
        <v>0.12821712911831681</v>
      </c>
      <c r="T362">
        <v>0.1386455148845821</v>
      </c>
      <c r="U362">
        <v>0.13498070721967409</v>
      </c>
      <c r="V362">
        <v>0.4147705541812528</v>
      </c>
      <c r="W362">
        <v>0.13390818492395479</v>
      </c>
      <c r="X362">
        <v>0.39057430620623201</v>
      </c>
      <c r="Y362">
        <v>0.43057365296795552</v>
      </c>
      <c r="Z362">
        <v>0.43467222819507251</v>
      </c>
      <c r="AA362">
        <v>0.39253266897162598</v>
      </c>
    </row>
    <row r="363" spans="1:27" x14ac:dyDescent="0.4">
      <c r="A363" s="1">
        <v>45856</v>
      </c>
      <c r="B363">
        <v>264.55</v>
      </c>
      <c r="C363">
        <v>210</v>
      </c>
      <c r="D363">
        <v>185.95</v>
      </c>
      <c r="E363">
        <v>162.75</v>
      </c>
      <c r="F363">
        <v>134.30000000000001</v>
      </c>
      <c r="G363">
        <v>147.69999999999999</v>
      </c>
      <c r="H363">
        <v>106</v>
      </c>
      <c r="I363">
        <v>105</v>
      </c>
      <c r="J363">
        <v>106.25</v>
      </c>
      <c r="K363">
        <v>111.3</v>
      </c>
      <c r="L363">
        <v>98.25</v>
      </c>
      <c r="Q363">
        <v>0.14264318034687559</v>
      </c>
      <c r="R363">
        <v>0.1477351254477432</v>
      </c>
      <c r="S363">
        <v>0.13332510019274249</v>
      </c>
      <c r="T363">
        <v>0.1419890666973897</v>
      </c>
      <c r="U363">
        <v>0.1409212896615224</v>
      </c>
      <c r="V363">
        <v>0.4180468700484733</v>
      </c>
      <c r="W363">
        <v>0.1387501784778287</v>
      </c>
      <c r="X363">
        <v>0.396710021857272</v>
      </c>
      <c r="Y363">
        <v>0.43998584296054721</v>
      </c>
      <c r="Z363">
        <v>0.43868877383061727</v>
      </c>
      <c r="AA363">
        <v>0.40192928130810729</v>
      </c>
    </row>
    <row r="364" spans="1:27" x14ac:dyDescent="0.4">
      <c r="A364" s="1">
        <v>45859</v>
      </c>
      <c r="B364">
        <v>260.3</v>
      </c>
      <c r="C364">
        <v>209.45</v>
      </c>
      <c r="D364">
        <v>181.9</v>
      </c>
      <c r="E364">
        <v>160.69999999999999</v>
      </c>
      <c r="F364">
        <v>131.6</v>
      </c>
      <c r="G364">
        <v>146.25</v>
      </c>
      <c r="H364">
        <v>103.5</v>
      </c>
      <c r="I364">
        <v>103.7</v>
      </c>
      <c r="J364">
        <v>105</v>
      </c>
      <c r="K364">
        <v>110.1</v>
      </c>
      <c r="L364">
        <v>96</v>
      </c>
      <c r="Q364">
        <v>0.16413139803320939</v>
      </c>
      <c r="R364">
        <v>0.15979189599309521</v>
      </c>
      <c r="S364">
        <v>0.15225575657851159</v>
      </c>
      <c r="T364">
        <v>0.1654289301627595</v>
      </c>
      <c r="U364">
        <v>0.15557232937338669</v>
      </c>
      <c r="V364">
        <v>0.46311768639026268</v>
      </c>
      <c r="W364">
        <v>0.1613575803417501</v>
      </c>
      <c r="X364">
        <v>0.41916831608269911</v>
      </c>
      <c r="Y364">
        <v>0.4065829476854339</v>
      </c>
      <c r="Z364">
        <v>0.46930636088398331</v>
      </c>
      <c r="AA364">
        <v>0.44459516502655572</v>
      </c>
    </row>
    <row r="365" spans="1:27" x14ac:dyDescent="0.4">
      <c r="A365" s="1">
        <v>45860</v>
      </c>
      <c r="B365">
        <v>258.7</v>
      </c>
      <c r="C365">
        <v>208.6</v>
      </c>
      <c r="D365">
        <v>182.1</v>
      </c>
      <c r="E365">
        <v>159.80000000000001</v>
      </c>
      <c r="F365">
        <v>131</v>
      </c>
      <c r="G365">
        <v>146.55000000000001</v>
      </c>
      <c r="H365">
        <v>103.9</v>
      </c>
      <c r="I365">
        <v>104.2</v>
      </c>
      <c r="J365">
        <v>104.1</v>
      </c>
      <c r="K365">
        <v>109.75</v>
      </c>
      <c r="L365">
        <v>96.394000000000005</v>
      </c>
      <c r="Q365">
        <v>0.17404162677486909</v>
      </c>
      <c r="R365">
        <v>0.17698240847136359</v>
      </c>
      <c r="S365">
        <v>0.15289198540382309</v>
      </c>
      <c r="T365">
        <v>0.17803372627158401</v>
      </c>
      <c r="U365">
        <v>0.15993622217046191</v>
      </c>
      <c r="V365">
        <v>0.45954307772393321</v>
      </c>
      <c r="W365">
        <v>0.15960294791127641</v>
      </c>
      <c r="X365">
        <v>0.41346369171503888</v>
      </c>
      <c r="Y365">
        <v>0.46534789015063682</v>
      </c>
      <c r="Z365">
        <v>0.47910525709644392</v>
      </c>
      <c r="AA365">
        <v>0.43946392300167347</v>
      </c>
    </row>
    <row r="366" spans="1:27" x14ac:dyDescent="0.4">
      <c r="A366" s="1">
        <v>45861</v>
      </c>
      <c r="B366">
        <v>265</v>
      </c>
      <c r="C366">
        <v>211.85</v>
      </c>
      <c r="D366">
        <v>186.25</v>
      </c>
      <c r="E366">
        <v>162</v>
      </c>
      <c r="F366">
        <v>136</v>
      </c>
      <c r="G366">
        <v>148</v>
      </c>
      <c r="H366">
        <v>105.75</v>
      </c>
      <c r="I366">
        <v>104.9</v>
      </c>
      <c r="J366">
        <v>105.8</v>
      </c>
      <c r="K366">
        <v>111.25</v>
      </c>
      <c r="L366">
        <v>97.22</v>
      </c>
      <c r="Q366">
        <v>0.1458156509894869</v>
      </c>
      <c r="R366">
        <v>0.13533389606410179</v>
      </c>
      <c r="S366">
        <v>0.1354132053919738</v>
      </c>
      <c r="T366">
        <v>0.1567337595408774</v>
      </c>
      <c r="U366">
        <v>0.13542289870262789</v>
      </c>
      <c r="V366">
        <v>0.42801720099889151</v>
      </c>
      <c r="W366">
        <v>0.14463840338066869</v>
      </c>
      <c r="X366">
        <v>0.4049577883518603</v>
      </c>
      <c r="Y366">
        <v>0.4497739055689613</v>
      </c>
      <c r="Z366">
        <v>0.45119674056649411</v>
      </c>
      <c r="AA366">
        <v>0.42694691087623898</v>
      </c>
    </row>
    <row r="367" spans="1:27" x14ac:dyDescent="0.4">
      <c r="A367" s="1">
        <v>45862</v>
      </c>
      <c r="B367">
        <v>266.60000000000002</v>
      </c>
      <c r="C367">
        <v>211.75</v>
      </c>
      <c r="D367">
        <v>186.8</v>
      </c>
      <c r="E367">
        <v>163</v>
      </c>
      <c r="F367">
        <v>135.75</v>
      </c>
      <c r="G367">
        <v>148.94999999999999</v>
      </c>
      <c r="H367">
        <v>107</v>
      </c>
      <c r="I367">
        <v>106</v>
      </c>
      <c r="J367">
        <v>107.2</v>
      </c>
      <c r="K367">
        <v>112.9</v>
      </c>
      <c r="L367">
        <v>97.98</v>
      </c>
      <c r="Q367">
        <v>0.14020575269772159</v>
      </c>
      <c r="R367">
        <v>0.1405035092693574</v>
      </c>
      <c r="S367">
        <v>0.13412633820383199</v>
      </c>
      <c r="T367">
        <v>0.1488372535315767</v>
      </c>
      <c r="U367">
        <v>0.13754189201409001</v>
      </c>
      <c r="V367">
        <v>0.40883780188355279</v>
      </c>
      <c r="W367">
        <v>0.1354345023619985</v>
      </c>
      <c r="X367">
        <v>0.3909563565040578</v>
      </c>
      <c r="Y367">
        <v>0.43869879808715589</v>
      </c>
      <c r="Z367">
        <v>0.4227509933713437</v>
      </c>
      <c r="AA367">
        <v>0.41568794753202543</v>
      </c>
    </row>
    <row r="368" spans="1:27" x14ac:dyDescent="0.4">
      <c r="A368" s="1">
        <v>45863</v>
      </c>
      <c r="B368">
        <v>265.3</v>
      </c>
      <c r="C368">
        <v>210.75</v>
      </c>
      <c r="D368">
        <v>186</v>
      </c>
      <c r="E368">
        <v>161.9</v>
      </c>
      <c r="F368">
        <v>135</v>
      </c>
      <c r="G368">
        <v>147.85</v>
      </c>
      <c r="H368">
        <v>106</v>
      </c>
      <c r="I368">
        <v>104.65</v>
      </c>
      <c r="J368">
        <v>106.2</v>
      </c>
      <c r="K368">
        <v>112.3</v>
      </c>
      <c r="L368">
        <v>97</v>
      </c>
      <c r="Q368">
        <v>0.14716744476196669</v>
      </c>
      <c r="R368">
        <v>0.15668218602696229</v>
      </c>
      <c r="S368">
        <v>0.13826314615121951</v>
      </c>
      <c r="T368">
        <v>0.16161932515771471</v>
      </c>
      <c r="U368">
        <v>0.1418147542107718</v>
      </c>
      <c r="V368">
        <v>0.4388191457171115</v>
      </c>
      <c r="W368">
        <v>0.14452960633813061</v>
      </c>
      <c r="X368">
        <v>0.41133169685479543</v>
      </c>
      <c r="Y368">
        <v>0.44990856360592979</v>
      </c>
      <c r="Z368">
        <v>0.43738379302779001</v>
      </c>
      <c r="AA368">
        <v>0.43403732835785108</v>
      </c>
    </row>
    <row r="369" spans="1:27" x14ac:dyDescent="0.4">
      <c r="A369" s="1">
        <v>45866</v>
      </c>
      <c r="B369">
        <v>262.5</v>
      </c>
      <c r="C369">
        <v>210</v>
      </c>
      <c r="D369">
        <v>183.75</v>
      </c>
      <c r="E369">
        <v>160.69999999999999</v>
      </c>
      <c r="F369">
        <v>133.19999999999999</v>
      </c>
      <c r="G369">
        <v>147.94999999999999</v>
      </c>
      <c r="H369">
        <v>105</v>
      </c>
      <c r="I369">
        <v>103.1</v>
      </c>
      <c r="J369">
        <v>105.2</v>
      </c>
      <c r="K369">
        <v>111.3</v>
      </c>
      <c r="L369">
        <v>96</v>
      </c>
      <c r="Q369">
        <v>0.16351181218170421</v>
      </c>
      <c r="R369">
        <v>0.17547305978418101</v>
      </c>
      <c r="S369">
        <v>0.1502856324679672</v>
      </c>
      <c r="T369">
        <v>0.1790488859527157</v>
      </c>
      <c r="U369">
        <v>0.1526413253526816</v>
      </c>
      <c r="V369">
        <v>0.44756135216984999</v>
      </c>
      <c r="W369">
        <v>0.15543640123351829</v>
      </c>
      <c r="X369">
        <v>0.4384142155298234</v>
      </c>
      <c r="Y369">
        <v>0.46333693755495992</v>
      </c>
      <c r="Z369">
        <v>0.46496091848978649</v>
      </c>
      <c r="AA369">
        <v>0.45684202938136492</v>
      </c>
    </row>
    <row r="370" spans="1:27" x14ac:dyDescent="0.4">
      <c r="A370" s="1">
        <v>45867</v>
      </c>
      <c r="B370">
        <v>261</v>
      </c>
      <c r="C370">
        <v>208.4</v>
      </c>
      <c r="D370">
        <v>182.9</v>
      </c>
      <c r="E370">
        <v>160.1</v>
      </c>
      <c r="F370">
        <v>133.1</v>
      </c>
      <c r="G370">
        <v>146.85</v>
      </c>
      <c r="H370">
        <v>104.4</v>
      </c>
      <c r="I370">
        <v>102.75</v>
      </c>
      <c r="J370">
        <v>104.5</v>
      </c>
      <c r="K370">
        <v>110.6</v>
      </c>
      <c r="L370">
        <v>95.3</v>
      </c>
      <c r="Q370">
        <v>0.17182848644010809</v>
      </c>
      <c r="R370">
        <v>0.201928671757238</v>
      </c>
      <c r="S370">
        <v>0.1548314826356833</v>
      </c>
      <c r="T370">
        <v>0.1872100866486639</v>
      </c>
      <c r="U370">
        <v>0.15171736285104409</v>
      </c>
      <c r="V370">
        <v>0.47974419995255779</v>
      </c>
      <c r="W370">
        <v>0.1614719569896072</v>
      </c>
      <c r="X370">
        <v>0.4452273846644505</v>
      </c>
      <c r="Y370">
        <v>0.46743304054946638</v>
      </c>
      <c r="Z370">
        <v>0.48195759167049829</v>
      </c>
      <c r="AA370">
        <v>0.47134262894958462</v>
      </c>
    </row>
    <row r="371" spans="1:27" x14ac:dyDescent="0.4">
      <c r="A371" s="1">
        <v>45868</v>
      </c>
      <c r="B371">
        <v>259.75</v>
      </c>
      <c r="C371">
        <v>209</v>
      </c>
      <c r="D371">
        <v>182.4</v>
      </c>
      <c r="E371">
        <v>160.82499999999999</v>
      </c>
      <c r="F371">
        <v>133.4</v>
      </c>
      <c r="G371">
        <v>147.69999999999999</v>
      </c>
      <c r="H371">
        <v>104.1</v>
      </c>
      <c r="I371">
        <v>103.15</v>
      </c>
      <c r="J371">
        <v>104.9</v>
      </c>
      <c r="K371">
        <v>110.6</v>
      </c>
      <c r="L371">
        <v>96</v>
      </c>
      <c r="Q371">
        <v>0.17909590752464979</v>
      </c>
      <c r="R371">
        <v>0.1961358209698654</v>
      </c>
      <c r="S371">
        <v>0.15785171934681769</v>
      </c>
      <c r="T371">
        <v>0.18104385597186681</v>
      </c>
      <c r="U371">
        <v>0.15284382204492239</v>
      </c>
      <c r="V371">
        <v>0.46177682171684059</v>
      </c>
      <c r="W371">
        <v>0.1649590425852217</v>
      </c>
      <c r="X371">
        <v>0.44078864235220999</v>
      </c>
      <c r="Y371">
        <v>0.46888809058723258</v>
      </c>
      <c r="Z371">
        <v>0.48495429000236318</v>
      </c>
      <c r="AA371">
        <v>0.46046479400759288</v>
      </c>
    </row>
    <row r="372" spans="1:27" x14ac:dyDescent="0.4">
      <c r="A372" s="1">
        <v>45869</v>
      </c>
      <c r="B372">
        <v>266.25</v>
      </c>
      <c r="C372">
        <v>213</v>
      </c>
      <c r="D372">
        <v>186.5</v>
      </c>
      <c r="E372">
        <v>164.25</v>
      </c>
      <c r="F372">
        <v>135</v>
      </c>
      <c r="G372">
        <v>149.55000000000001</v>
      </c>
      <c r="H372">
        <v>106</v>
      </c>
      <c r="I372">
        <v>106.15</v>
      </c>
      <c r="J372">
        <v>107.4</v>
      </c>
      <c r="K372">
        <v>112.05</v>
      </c>
      <c r="L372">
        <v>98.82</v>
      </c>
      <c r="Q372">
        <v>0.16461533252948321</v>
      </c>
      <c r="R372">
        <v>0.14103158757378409</v>
      </c>
      <c r="S372">
        <v>0.1402919256026007</v>
      </c>
      <c r="T372">
        <v>0.14639598637199019</v>
      </c>
      <c r="U372">
        <v>0.14534909131420809</v>
      </c>
      <c r="V372">
        <v>0.41866299370622689</v>
      </c>
      <c r="W372">
        <v>0.14929160807966271</v>
      </c>
      <c r="X372">
        <v>0.39847639385768763</v>
      </c>
      <c r="Y372">
        <v>0.446944419024491</v>
      </c>
      <c r="Z372">
        <v>0.459325283434388</v>
      </c>
      <c r="AA372">
        <v>0.41269155109685479</v>
      </c>
    </row>
    <row r="373" spans="1:27" x14ac:dyDescent="0.4">
      <c r="A373" s="1">
        <v>45870</v>
      </c>
      <c r="B373">
        <v>268</v>
      </c>
      <c r="C373">
        <v>214.5</v>
      </c>
      <c r="D373">
        <v>186.5</v>
      </c>
      <c r="E373">
        <v>164.8</v>
      </c>
      <c r="F373">
        <v>136</v>
      </c>
      <c r="G373">
        <v>150.15</v>
      </c>
      <c r="H373">
        <v>107</v>
      </c>
      <c r="I373">
        <v>107</v>
      </c>
      <c r="J373">
        <v>108.25</v>
      </c>
      <c r="K373">
        <v>113.65</v>
      </c>
      <c r="L373">
        <v>100.04900000000001</v>
      </c>
      <c r="Q373">
        <v>0.14229803942621611</v>
      </c>
      <c r="R373">
        <v>0.1226390906004913</v>
      </c>
      <c r="S373">
        <v>0.14101048647736669</v>
      </c>
      <c r="T373">
        <v>0.14222295665306739</v>
      </c>
      <c r="U373">
        <v>0.14094824718659221</v>
      </c>
      <c r="V373">
        <v>0.40732038339055437</v>
      </c>
      <c r="W373">
        <v>0.14159617551829121</v>
      </c>
      <c r="X373">
        <v>0.38786721458515699</v>
      </c>
      <c r="Y373">
        <v>0.43983266936234577</v>
      </c>
      <c r="Z373">
        <v>0.4292556578328991</v>
      </c>
      <c r="AA373">
        <v>0.39356028556364792</v>
      </c>
    </row>
    <row r="374" spans="1:27" x14ac:dyDescent="0.4">
      <c r="A374" s="1">
        <v>45873</v>
      </c>
      <c r="B374">
        <v>269.45</v>
      </c>
      <c r="C374">
        <v>214.25</v>
      </c>
      <c r="D374">
        <v>188.25</v>
      </c>
      <c r="E374">
        <v>165.2</v>
      </c>
      <c r="F374">
        <v>136.4</v>
      </c>
      <c r="G374">
        <v>150.6</v>
      </c>
      <c r="H374">
        <v>107.75</v>
      </c>
      <c r="I374">
        <v>107.1</v>
      </c>
      <c r="J374">
        <v>110.179</v>
      </c>
      <c r="K374">
        <v>115.783</v>
      </c>
      <c r="L374">
        <v>99.8</v>
      </c>
      <c r="Q374">
        <v>0.13887494649173221</v>
      </c>
      <c r="R374">
        <v>0.1077535033806933</v>
      </c>
      <c r="S374">
        <v>0.13549403112897709</v>
      </c>
      <c r="T374">
        <v>0.1426015279381341</v>
      </c>
      <c r="U374">
        <v>0.14074294773461249</v>
      </c>
      <c r="V374">
        <v>0.40676766730300301</v>
      </c>
      <c r="W374">
        <v>0.13765216852006851</v>
      </c>
      <c r="X374">
        <v>0.3905909998481904</v>
      </c>
      <c r="Y374">
        <v>0.42567011418317369</v>
      </c>
      <c r="Z374">
        <v>0.3951107649956655</v>
      </c>
      <c r="AA374">
        <v>0.40243925834852029</v>
      </c>
    </row>
    <row r="375" spans="1:27" x14ac:dyDescent="0.4">
      <c r="A375" s="1">
        <v>45874</v>
      </c>
      <c r="B375">
        <v>270.7</v>
      </c>
      <c r="C375">
        <v>214.1</v>
      </c>
      <c r="D375">
        <v>189.3</v>
      </c>
      <c r="E375">
        <v>166.1</v>
      </c>
      <c r="F375">
        <v>137.5</v>
      </c>
      <c r="G375">
        <v>150.25</v>
      </c>
      <c r="H375">
        <v>108.45</v>
      </c>
      <c r="I375">
        <v>107.45</v>
      </c>
      <c r="J375">
        <v>109</v>
      </c>
      <c r="K375">
        <v>115.1</v>
      </c>
      <c r="L375">
        <v>100.00700000000001</v>
      </c>
      <c r="Q375">
        <v>0.13420510394968199</v>
      </c>
      <c r="R375">
        <v>0.13867396131916351</v>
      </c>
      <c r="S375">
        <v>0.1316372656907038</v>
      </c>
      <c r="T375">
        <v>0.13579763044410181</v>
      </c>
      <c r="U375">
        <v>0.13588098305910801</v>
      </c>
      <c r="V375">
        <v>0.41938810036743079</v>
      </c>
      <c r="W375">
        <v>0.13257347757249069</v>
      </c>
      <c r="X375">
        <v>0.38702474753286997</v>
      </c>
      <c r="Y375">
        <v>0.439027454153123</v>
      </c>
      <c r="Z375">
        <v>0.41215560080037422</v>
      </c>
      <c r="AA375">
        <v>0.40051537933258108</v>
      </c>
    </row>
    <row r="376" spans="1:27" x14ac:dyDescent="0.4">
      <c r="A376" s="1">
        <v>45875</v>
      </c>
      <c r="B376">
        <v>268.89999999999998</v>
      </c>
      <c r="C376">
        <v>213</v>
      </c>
      <c r="D376">
        <v>188.5</v>
      </c>
      <c r="E376">
        <v>164.9</v>
      </c>
      <c r="F376">
        <v>136.35</v>
      </c>
      <c r="G376">
        <v>149</v>
      </c>
      <c r="H376">
        <v>107.8</v>
      </c>
      <c r="I376">
        <v>106.8</v>
      </c>
      <c r="J376">
        <v>109.8</v>
      </c>
      <c r="K376">
        <v>115.4</v>
      </c>
      <c r="L376">
        <v>99.58</v>
      </c>
      <c r="Q376">
        <v>0.14362208043074839</v>
      </c>
      <c r="R376">
        <v>0.15768033738509929</v>
      </c>
      <c r="S376">
        <v>0.13582614760122749</v>
      </c>
      <c r="T376">
        <v>0.14883600931664001</v>
      </c>
      <c r="U376">
        <v>0.14219165412592941</v>
      </c>
      <c r="V376">
        <v>0.45623980240352902</v>
      </c>
      <c r="W376">
        <v>0.1388146980385862</v>
      </c>
      <c r="X376">
        <v>0.39481899909967477</v>
      </c>
      <c r="Y376">
        <v>0.4336776618748665</v>
      </c>
      <c r="Z376">
        <v>0.41000474908675988</v>
      </c>
      <c r="AA376">
        <v>0.40942563222999279</v>
      </c>
    </row>
    <row r="377" spans="1:27" x14ac:dyDescent="0.4">
      <c r="A377" s="1">
        <v>45876</v>
      </c>
      <c r="B377">
        <v>265</v>
      </c>
      <c r="C377">
        <v>210.9</v>
      </c>
      <c r="D377">
        <v>185.8</v>
      </c>
      <c r="E377">
        <v>163.1</v>
      </c>
      <c r="F377">
        <v>135.25</v>
      </c>
      <c r="G377">
        <v>147.1</v>
      </c>
      <c r="H377">
        <v>105.25</v>
      </c>
      <c r="I377">
        <v>104.8</v>
      </c>
      <c r="J377">
        <v>109.5</v>
      </c>
      <c r="K377">
        <v>115.35</v>
      </c>
      <c r="L377">
        <v>97.25</v>
      </c>
      <c r="Q377">
        <v>0.1632974272830979</v>
      </c>
      <c r="R377">
        <v>0.19291508533402479</v>
      </c>
      <c r="S377">
        <v>0.14852942367236779</v>
      </c>
      <c r="T377">
        <v>0.169832645320039</v>
      </c>
      <c r="U377">
        <v>0.14835306819392571</v>
      </c>
      <c r="V377">
        <v>0.51329329378562027</v>
      </c>
      <c r="W377">
        <v>0.16169708142285791</v>
      </c>
      <c r="X377">
        <v>0.4285413869027675</v>
      </c>
      <c r="Y377">
        <v>0.43757907576534039</v>
      </c>
      <c r="Z377">
        <v>0.41319589749457858</v>
      </c>
      <c r="AA377">
        <v>0.45243111227122829</v>
      </c>
    </row>
    <row r="378" spans="1:27" x14ac:dyDescent="0.4">
      <c r="A378" s="1">
        <v>45877</v>
      </c>
      <c r="B378">
        <v>262.75</v>
      </c>
      <c r="C378">
        <v>210.8</v>
      </c>
      <c r="D378">
        <v>184.4</v>
      </c>
      <c r="E378">
        <v>162.05000000000001</v>
      </c>
      <c r="F378">
        <v>134.25</v>
      </c>
      <c r="G378">
        <v>147.9</v>
      </c>
      <c r="H378">
        <v>104.9</v>
      </c>
      <c r="I378">
        <v>104.65</v>
      </c>
      <c r="J378">
        <v>109.65</v>
      </c>
      <c r="K378">
        <v>115.25</v>
      </c>
      <c r="L378">
        <v>97.3</v>
      </c>
      <c r="Q378">
        <v>0.17551252552290431</v>
      </c>
      <c r="R378">
        <v>0.19784032079725791</v>
      </c>
      <c r="S378">
        <v>0.15563247298462479</v>
      </c>
      <c r="T378">
        <v>0.18318121459437739</v>
      </c>
      <c r="U378">
        <v>0.15409830293076521</v>
      </c>
      <c r="V378">
        <v>0.49535521052282311</v>
      </c>
      <c r="W378">
        <v>0.16568011333924379</v>
      </c>
      <c r="X378">
        <v>0.43236890607748701</v>
      </c>
      <c r="Y378">
        <v>0.43959911991534178</v>
      </c>
      <c r="Z378">
        <v>0.42062758345519252</v>
      </c>
      <c r="AA378">
        <v>0.45336114550589779</v>
      </c>
    </row>
    <row r="379" spans="1:27" x14ac:dyDescent="0.4">
      <c r="A379" s="1">
        <v>45880</v>
      </c>
      <c r="B379">
        <v>260.89999999999998</v>
      </c>
      <c r="C379">
        <v>209.35</v>
      </c>
      <c r="D379">
        <v>183</v>
      </c>
      <c r="E379">
        <v>161</v>
      </c>
      <c r="F379">
        <v>133</v>
      </c>
      <c r="G379">
        <v>147.44999999999999</v>
      </c>
      <c r="H379">
        <v>104.7</v>
      </c>
      <c r="I379">
        <v>104</v>
      </c>
      <c r="J379">
        <v>109.7</v>
      </c>
      <c r="K379">
        <v>114.8</v>
      </c>
      <c r="L379">
        <v>96.85</v>
      </c>
      <c r="Q379">
        <v>0.18862042623035519</v>
      </c>
      <c r="R379">
        <v>0.2323560903464075</v>
      </c>
      <c r="S379">
        <v>0.16444619579170211</v>
      </c>
      <c r="T379">
        <v>0.2006371872603972</v>
      </c>
      <c r="U379">
        <v>0.1625394087343123</v>
      </c>
      <c r="V379">
        <v>0.52295153559322782</v>
      </c>
      <c r="W379">
        <v>0.17014153892541761</v>
      </c>
      <c r="X379">
        <v>0.44717205384830672</v>
      </c>
      <c r="Y379">
        <v>0.44232542202964581</v>
      </c>
      <c r="Z379">
        <v>0.4368351984734315</v>
      </c>
      <c r="AA379">
        <v>0.46736472677096641</v>
      </c>
    </row>
    <row r="380" spans="1:27" x14ac:dyDescent="0.4">
      <c r="A380" s="1">
        <v>45881</v>
      </c>
      <c r="B380">
        <v>262.60000000000002</v>
      </c>
      <c r="C380">
        <v>210.25</v>
      </c>
      <c r="D380">
        <v>184</v>
      </c>
      <c r="E380">
        <v>161.4</v>
      </c>
      <c r="F380">
        <v>134.25</v>
      </c>
      <c r="G380">
        <v>147.35</v>
      </c>
      <c r="H380">
        <v>105.2</v>
      </c>
      <c r="I380">
        <v>104.3</v>
      </c>
      <c r="J380">
        <v>109.1</v>
      </c>
      <c r="K380">
        <v>114.1</v>
      </c>
      <c r="L380">
        <v>97.31</v>
      </c>
      <c r="Q380">
        <v>0.1803252849697094</v>
      </c>
      <c r="R380">
        <v>0.2210601265521849</v>
      </c>
      <c r="S380">
        <v>0.16059028721583249</v>
      </c>
      <c r="T380">
        <v>0.19790586896173731</v>
      </c>
      <c r="U380">
        <v>0.15663893916817781</v>
      </c>
      <c r="V380">
        <v>0.53107380237262602</v>
      </c>
      <c r="W380">
        <v>0.16652699180621669</v>
      </c>
      <c r="X380">
        <v>0.44417584947023547</v>
      </c>
      <c r="Y380">
        <v>0.45063222646861939</v>
      </c>
      <c r="Z380">
        <v>0.45591397709518833</v>
      </c>
      <c r="AA380">
        <v>0.46068905466845939</v>
      </c>
    </row>
    <row r="381" spans="1:27" x14ac:dyDescent="0.4">
      <c r="A381" s="1">
        <v>45882</v>
      </c>
      <c r="B381">
        <v>263</v>
      </c>
      <c r="C381">
        <v>210.3</v>
      </c>
      <c r="D381">
        <v>184.7</v>
      </c>
      <c r="E381">
        <v>161.09</v>
      </c>
      <c r="F381">
        <v>134.4</v>
      </c>
      <c r="G381">
        <v>148.19999999999999</v>
      </c>
      <c r="H381">
        <v>104.6</v>
      </c>
      <c r="I381">
        <v>105.15</v>
      </c>
      <c r="J381">
        <v>108.5</v>
      </c>
      <c r="K381">
        <v>114.45</v>
      </c>
      <c r="L381">
        <v>98.78</v>
      </c>
      <c r="Q381">
        <v>0.18060585719253999</v>
      </c>
      <c r="R381">
        <v>0.22400298180895539</v>
      </c>
      <c r="S381">
        <v>0.15813958383806001</v>
      </c>
      <c r="T381">
        <v>0.20342402666937201</v>
      </c>
      <c r="U381">
        <v>0.15649875453573819</v>
      </c>
      <c r="V381">
        <v>0.51089953468675497</v>
      </c>
      <c r="W381">
        <v>0.1728573447341159</v>
      </c>
      <c r="X381">
        <v>0.43272916352593083</v>
      </c>
      <c r="Y381">
        <v>0.45925057606424258</v>
      </c>
      <c r="Z381">
        <v>0.45319246271031471</v>
      </c>
      <c r="AA381">
        <v>0.43554201102910878</v>
      </c>
    </row>
    <row r="382" spans="1:27" x14ac:dyDescent="0.4">
      <c r="A382" s="1">
        <v>45883</v>
      </c>
      <c r="B382">
        <v>257.89999999999998</v>
      </c>
      <c r="C382">
        <v>209</v>
      </c>
      <c r="D382">
        <v>181.5</v>
      </c>
      <c r="E382">
        <v>158.05000000000001</v>
      </c>
      <c r="F382">
        <v>133.80000000000001</v>
      </c>
      <c r="G382">
        <v>147.80000000000001</v>
      </c>
      <c r="H382">
        <v>106.89400000000001</v>
      </c>
      <c r="I382">
        <v>104.4</v>
      </c>
      <c r="J382">
        <v>107.6</v>
      </c>
      <c r="K382">
        <v>113.85</v>
      </c>
      <c r="L382">
        <v>97</v>
      </c>
      <c r="Q382">
        <v>0.2082252191536102</v>
      </c>
      <c r="R382">
        <v>0.25034233400604128</v>
      </c>
      <c r="S382">
        <v>0.17396457170083399</v>
      </c>
      <c r="T382">
        <v>0.2420146951910041</v>
      </c>
      <c r="U382">
        <v>0.16028297613192621</v>
      </c>
      <c r="V382">
        <v>0.52801708619128407</v>
      </c>
      <c r="W382">
        <v>0.15321223680044069</v>
      </c>
      <c r="X382">
        <v>0.44593739488663359</v>
      </c>
      <c r="Y382">
        <v>0.46938238168467039</v>
      </c>
      <c r="Z382">
        <v>0.46866185902182828</v>
      </c>
      <c r="AA382">
        <v>0.47039057466048512</v>
      </c>
    </row>
    <row r="383" spans="1:27" x14ac:dyDescent="0.4">
      <c r="A383" s="1">
        <v>45887</v>
      </c>
      <c r="B383">
        <v>255.5</v>
      </c>
      <c r="C383">
        <v>208.75</v>
      </c>
      <c r="D383">
        <v>179.8</v>
      </c>
      <c r="E383">
        <v>156.5</v>
      </c>
      <c r="F383">
        <v>130.97800000000001</v>
      </c>
      <c r="G383">
        <v>147</v>
      </c>
      <c r="H383">
        <v>102.75</v>
      </c>
      <c r="I383">
        <v>103</v>
      </c>
      <c r="J383">
        <v>107.25</v>
      </c>
      <c r="K383">
        <v>113.35</v>
      </c>
      <c r="L383">
        <v>96.49</v>
      </c>
      <c r="Q383">
        <v>0.22694996689780619</v>
      </c>
      <c r="R383">
        <v>0.27219501359511949</v>
      </c>
      <c r="S383">
        <v>0.1855833697789121</v>
      </c>
      <c r="T383">
        <v>0.27078321006554218</v>
      </c>
      <c r="U383">
        <v>0.1781298442823703</v>
      </c>
      <c r="V383">
        <v>0.57560777303150235</v>
      </c>
      <c r="W383">
        <v>0.19486609076575931</v>
      </c>
      <c r="X383">
        <v>0.47521859345932971</v>
      </c>
      <c r="Y383">
        <v>0.48647859171172508</v>
      </c>
      <c r="Z383">
        <v>0.50304591379333041</v>
      </c>
      <c r="AA383">
        <v>0.48830866082668278</v>
      </c>
    </row>
    <row r="384" spans="1:27" x14ac:dyDescent="0.4">
      <c r="A384" s="1">
        <v>45888</v>
      </c>
      <c r="B384">
        <v>256</v>
      </c>
      <c r="C384">
        <v>208.65</v>
      </c>
      <c r="D384">
        <v>179.8</v>
      </c>
      <c r="E384">
        <v>157.85</v>
      </c>
      <c r="F384">
        <v>129.75</v>
      </c>
      <c r="G384">
        <v>147.80000000000001</v>
      </c>
      <c r="H384">
        <v>102.6</v>
      </c>
      <c r="I384">
        <v>102.65</v>
      </c>
      <c r="J384">
        <v>107.95</v>
      </c>
      <c r="K384">
        <v>114.1</v>
      </c>
      <c r="L384">
        <v>96.2</v>
      </c>
      <c r="Q384">
        <v>0.2257238456596419</v>
      </c>
      <c r="R384">
        <v>0.27865401649838839</v>
      </c>
      <c r="S384">
        <v>0.18272496008731981</v>
      </c>
      <c r="T384">
        <v>0.25573625086906321</v>
      </c>
      <c r="U384">
        <v>0.1856332824318552</v>
      </c>
      <c r="V384">
        <v>0.55571576728977412</v>
      </c>
      <c r="W384">
        <v>0.197297398614449</v>
      </c>
      <c r="X384">
        <v>0.48279762618914579</v>
      </c>
      <c r="Y384">
        <v>0.483509407880996</v>
      </c>
      <c r="Z384">
        <v>0.49317766758196913</v>
      </c>
      <c r="AA384">
        <v>0.49611902184135132</v>
      </c>
    </row>
    <row r="385" spans="1:27" x14ac:dyDescent="0.4">
      <c r="A385" s="1">
        <v>45889</v>
      </c>
      <c r="B385">
        <v>254.55</v>
      </c>
      <c r="C385">
        <v>207.3</v>
      </c>
      <c r="D385">
        <v>178</v>
      </c>
      <c r="E385">
        <v>157.30000000000001</v>
      </c>
      <c r="F385">
        <v>129</v>
      </c>
      <c r="G385">
        <v>147</v>
      </c>
      <c r="H385">
        <v>100.95</v>
      </c>
      <c r="I385">
        <v>101.2</v>
      </c>
      <c r="J385">
        <v>106.4</v>
      </c>
      <c r="K385">
        <v>113.9</v>
      </c>
      <c r="L385">
        <v>95.447999999999993</v>
      </c>
      <c r="Q385">
        <v>0.23525716120890841</v>
      </c>
      <c r="R385">
        <v>0.30925399525254599</v>
      </c>
      <c r="S385">
        <v>0.1962852306273217</v>
      </c>
      <c r="T385">
        <v>0.26516770787245209</v>
      </c>
      <c r="U385">
        <v>0.1905667171177447</v>
      </c>
      <c r="V385">
        <v>0.58790053896221461</v>
      </c>
      <c r="W385">
        <v>0.2144474868027024</v>
      </c>
      <c r="X385">
        <v>0.50907314990915375</v>
      </c>
      <c r="Y385">
        <v>0.51576977002076785</v>
      </c>
      <c r="Z385">
        <v>0.53780425788255382</v>
      </c>
      <c r="AA385">
        <v>0.51334356990769692</v>
      </c>
    </row>
    <row r="386" spans="1:27" x14ac:dyDescent="0.4">
      <c r="A386" s="1">
        <v>45890</v>
      </c>
      <c r="B386">
        <v>253.5</v>
      </c>
      <c r="C386">
        <v>208.4</v>
      </c>
      <c r="D386">
        <v>176</v>
      </c>
      <c r="E386">
        <v>158.15</v>
      </c>
      <c r="F386">
        <v>127.6</v>
      </c>
      <c r="G386">
        <v>148.5</v>
      </c>
      <c r="H386">
        <v>100</v>
      </c>
      <c r="I386">
        <v>101.5</v>
      </c>
      <c r="J386">
        <v>106.35</v>
      </c>
      <c r="K386">
        <v>114.2</v>
      </c>
      <c r="L386">
        <v>96</v>
      </c>
      <c r="Q386">
        <v>0.24271340634963159</v>
      </c>
      <c r="R386">
        <v>0.29297409479400438</v>
      </c>
      <c r="S386">
        <v>0.2073573617347369</v>
      </c>
      <c r="T386">
        <v>0.2565317065306254</v>
      </c>
      <c r="U386">
        <v>0.1992937103826791</v>
      </c>
      <c r="V386">
        <v>0.5447957251432759</v>
      </c>
      <c r="W386">
        <v>0.225053558113334</v>
      </c>
      <c r="X386">
        <v>0.50592272439928532</v>
      </c>
      <c r="Y386">
        <v>0.50918383550472568</v>
      </c>
      <c r="Z386">
        <v>0.50581078532496426</v>
      </c>
      <c r="AA386">
        <v>0.51040495922176865</v>
      </c>
    </row>
    <row r="387" spans="1:27" x14ac:dyDescent="0.4">
      <c r="A387" s="1">
        <v>45891</v>
      </c>
      <c r="B387">
        <v>253.25</v>
      </c>
      <c r="C387">
        <v>210.5</v>
      </c>
      <c r="D387">
        <v>175.5</v>
      </c>
      <c r="E387">
        <v>157.9</v>
      </c>
      <c r="F387">
        <v>127.2</v>
      </c>
      <c r="G387">
        <v>147.80000000000001</v>
      </c>
      <c r="H387">
        <v>100.2</v>
      </c>
      <c r="I387">
        <v>101.8</v>
      </c>
      <c r="J387">
        <v>107.15</v>
      </c>
      <c r="K387">
        <v>115</v>
      </c>
      <c r="L387">
        <v>96.100999999999999</v>
      </c>
      <c r="Q387">
        <v>0.2457316367405267</v>
      </c>
      <c r="R387">
        <v>0.25783950649937237</v>
      </c>
      <c r="S387">
        <v>0.21087630126911919</v>
      </c>
      <c r="T387">
        <v>0.2621287786169626</v>
      </c>
      <c r="U387">
        <v>0.20236007724540919</v>
      </c>
      <c r="V387">
        <v>0.57375502388658606</v>
      </c>
      <c r="W387">
        <v>0.22411692098363939</v>
      </c>
      <c r="X387">
        <v>0.50277389207841738</v>
      </c>
      <c r="Y387">
        <v>0.50530591154880711</v>
      </c>
      <c r="Z387">
        <v>0.4950980835047617</v>
      </c>
      <c r="AA387">
        <v>0.50458146905629386</v>
      </c>
    </row>
    <row r="388" spans="1:27" x14ac:dyDescent="0.4">
      <c r="A388" s="1">
        <v>45894</v>
      </c>
      <c r="B388">
        <v>247</v>
      </c>
      <c r="C388">
        <v>205.4</v>
      </c>
      <c r="D388">
        <v>169.387</v>
      </c>
      <c r="E388">
        <v>153</v>
      </c>
      <c r="F388">
        <v>123.25</v>
      </c>
      <c r="G388">
        <v>145.85</v>
      </c>
      <c r="H388">
        <v>96.1</v>
      </c>
      <c r="I388">
        <v>100.45</v>
      </c>
      <c r="J388">
        <v>105</v>
      </c>
      <c r="K388">
        <v>114.75</v>
      </c>
      <c r="L388">
        <v>95.149000000000001</v>
      </c>
      <c r="Q388">
        <v>0.28757302796219181</v>
      </c>
      <c r="R388">
        <v>0.37618107475543983</v>
      </c>
      <c r="S388">
        <v>0.24665511223961059</v>
      </c>
      <c r="T388">
        <v>0.33722711890559021</v>
      </c>
      <c r="U388">
        <v>0.2283387187324625</v>
      </c>
      <c r="V388">
        <v>0.66246393694101902</v>
      </c>
      <c r="W388">
        <v>0.27100361667632189</v>
      </c>
      <c r="X388">
        <v>0.53237767733550556</v>
      </c>
      <c r="Y388">
        <v>0.53585757286474534</v>
      </c>
      <c r="Z388">
        <v>0.5145821805468217</v>
      </c>
      <c r="AA388">
        <v>0.53093375792711672</v>
      </c>
    </row>
    <row r="389" spans="1:27" x14ac:dyDescent="0.4">
      <c r="A389" s="1">
        <v>45895</v>
      </c>
      <c r="B389">
        <v>250</v>
      </c>
      <c r="C389">
        <v>206.75</v>
      </c>
      <c r="D389">
        <v>171.65</v>
      </c>
      <c r="E389">
        <v>156</v>
      </c>
      <c r="F389">
        <v>124.5</v>
      </c>
      <c r="G389">
        <v>147.44999999999999</v>
      </c>
      <c r="H389">
        <v>98.45</v>
      </c>
      <c r="I389">
        <v>101.2</v>
      </c>
      <c r="J389">
        <v>105</v>
      </c>
      <c r="K389">
        <v>114.15</v>
      </c>
      <c r="L389">
        <v>95.79</v>
      </c>
      <c r="Q389">
        <v>0.27133477705722969</v>
      </c>
      <c r="R389">
        <v>0.35337700901916008</v>
      </c>
      <c r="S389">
        <v>0.2352547048478888</v>
      </c>
      <c r="T389">
        <v>0.29767264452771619</v>
      </c>
      <c r="U389">
        <v>0.2215137890913122</v>
      </c>
      <c r="V389">
        <v>0.61203100915396791</v>
      </c>
      <c r="W389">
        <v>0.2467829978279216</v>
      </c>
      <c r="X389">
        <v>0.52121872061297392</v>
      </c>
      <c r="Y389">
        <v>0.54068205574883932</v>
      </c>
      <c r="Z389">
        <v>0.53680943887334898</v>
      </c>
      <c r="AA389">
        <v>0.51992838276713738</v>
      </c>
    </row>
    <row r="390" spans="1:27" x14ac:dyDescent="0.4">
      <c r="A390" s="1">
        <v>45896</v>
      </c>
      <c r="B390">
        <v>255.75</v>
      </c>
      <c r="C390">
        <v>207.85</v>
      </c>
      <c r="D390">
        <v>175.15</v>
      </c>
      <c r="E390">
        <v>158.9</v>
      </c>
      <c r="F390">
        <v>128</v>
      </c>
      <c r="G390">
        <v>146.30000000000001</v>
      </c>
      <c r="H390">
        <v>100.25</v>
      </c>
      <c r="I390">
        <v>100.8</v>
      </c>
      <c r="J390">
        <v>105.9</v>
      </c>
      <c r="K390">
        <v>114.7</v>
      </c>
      <c r="L390">
        <v>95.3</v>
      </c>
      <c r="Q390">
        <v>0.23959486373451941</v>
      </c>
      <c r="R390">
        <v>0.33597794437862522</v>
      </c>
      <c r="S390">
        <v>0.2175148753332847</v>
      </c>
      <c r="T390">
        <v>0.2610361679330015</v>
      </c>
      <c r="U390">
        <v>0.2015037000939946</v>
      </c>
      <c r="V390">
        <v>0.66106777250491788</v>
      </c>
      <c r="W390">
        <v>0.22912968214141699</v>
      </c>
      <c r="X390">
        <v>0.53038970194018364</v>
      </c>
      <c r="Y390">
        <v>0.53604864046951073</v>
      </c>
      <c r="Z390">
        <v>0.53243941644151227</v>
      </c>
      <c r="AA390">
        <v>0.5324983031581203</v>
      </c>
    </row>
    <row r="391" spans="1:27" x14ac:dyDescent="0.4">
      <c r="A391" s="1">
        <v>45897</v>
      </c>
      <c r="B391">
        <v>262.5</v>
      </c>
      <c r="C391">
        <v>211.2</v>
      </c>
      <c r="D391">
        <v>181</v>
      </c>
      <c r="E391">
        <v>162.6</v>
      </c>
      <c r="F391">
        <v>132</v>
      </c>
      <c r="G391">
        <v>148.75</v>
      </c>
      <c r="H391">
        <v>105</v>
      </c>
      <c r="I391">
        <v>102.5</v>
      </c>
      <c r="J391">
        <v>107.6</v>
      </c>
      <c r="K391">
        <v>116.5</v>
      </c>
      <c r="L391">
        <v>97.7</v>
      </c>
      <c r="Q391">
        <v>0.20374937132430229</v>
      </c>
      <c r="R391">
        <v>0.28334808032165582</v>
      </c>
      <c r="S391">
        <v>0.1884659377988209</v>
      </c>
      <c r="T391">
        <v>0.2157097253406613</v>
      </c>
      <c r="U391">
        <v>0.17952118974022649</v>
      </c>
      <c r="V391">
        <v>0.57974745344728329</v>
      </c>
      <c r="W391">
        <v>0.18326888885104781</v>
      </c>
      <c r="X391">
        <v>0.50266048095144611</v>
      </c>
      <c r="Y391">
        <v>0.52239610053133445</v>
      </c>
      <c r="Z391">
        <v>0.49809519732614349</v>
      </c>
      <c r="AA391">
        <v>0.48554112319454079</v>
      </c>
    </row>
    <row r="392" spans="1:27" x14ac:dyDescent="0.4">
      <c r="A392" s="1">
        <v>45898</v>
      </c>
      <c r="B392">
        <v>265</v>
      </c>
      <c r="C392">
        <v>212</v>
      </c>
      <c r="D392">
        <v>182.7</v>
      </c>
      <c r="E392">
        <v>163</v>
      </c>
      <c r="F392">
        <v>132.69999999999999</v>
      </c>
      <c r="G392">
        <v>149.1</v>
      </c>
      <c r="H392">
        <v>104.55</v>
      </c>
      <c r="I392">
        <v>102.2</v>
      </c>
      <c r="J392">
        <v>107.45</v>
      </c>
      <c r="K392">
        <v>116.65</v>
      </c>
      <c r="L392">
        <v>96.75</v>
      </c>
      <c r="Q392">
        <v>0.1918008721121546</v>
      </c>
      <c r="R392">
        <v>0.26180453050738028</v>
      </c>
      <c r="S392">
        <v>0.1809308753578415</v>
      </c>
      <c r="T392">
        <v>0.21284503546631089</v>
      </c>
      <c r="U392">
        <v>0.1763584373996282</v>
      </c>
      <c r="V392">
        <v>0.55604763480819197</v>
      </c>
      <c r="W392">
        <v>0.18854236563916929</v>
      </c>
      <c r="X392">
        <v>0.50988287031690649</v>
      </c>
      <c r="Y392">
        <v>0.5294345473704416</v>
      </c>
      <c r="Z392">
        <v>0.50336769619151256</v>
      </c>
      <c r="AA392">
        <v>0.50698953231716615</v>
      </c>
    </row>
    <row r="393" spans="1:27" x14ac:dyDescent="0.4">
      <c r="A393" s="1">
        <v>45901</v>
      </c>
      <c r="B393">
        <v>260.5</v>
      </c>
      <c r="C393">
        <v>212.05</v>
      </c>
      <c r="D393">
        <v>180.1</v>
      </c>
      <c r="E393">
        <v>161.19999999999999</v>
      </c>
      <c r="F393">
        <v>131.5</v>
      </c>
      <c r="G393">
        <v>149.25</v>
      </c>
      <c r="H393">
        <v>103.6</v>
      </c>
      <c r="I393">
        <v>101.6</v>
      </c>
      <c r="J393">
        <v>107.15</v>
      </c>
      <c r="K393">
        <v>115.75</v>
      </c>
      <c r="L393">
        <v>96.099000000000004</v>
      </c>
      <c r="Q393">
        <v>0.22115370230997769</v>
      </c>
      <c r="R393">
        <v>0.2771403056392554</v>
      </c>
      <c r="S393">
        <v>0.1969041029966139</v>
      </c>
      <c r="T393">
        <v>0.2432961800703751</v>
      </c>
      <c r="U393">
        <v>0.18540622937109369</v>
      </c>
      <c r="V393">
        <v>0.55158974739287048</v>
      </c>
      <c r="W393">
        <v>0.20111054292785241</v>
      </c>
      <c r="X393">
        <v>0.52675427067177694</v>
      </c>
      <c r="Y393">
        <v>0.54095134458717375</v>
      </c>
      <c r="Z393">
        <v>0.54033139545017161</v>
      </c>
      <c r="AA393">
        <v>0.52756152771456455</v>
      </c>
    </row>
    <row r="394" spans="1:27" x14ac:dyDescent="0.4">
      <c r="A394" s="1">
        <v>45902</v>
      </c>
      <c r="B394">
        <v>260.3</v>
      </c>
      <c r="C394">
        <v>212.8</v>
      </c>
      <c r="D394">
        <v>179.4</v>
      </c>
      <c r="E394">
        <v>161.1</v>
      </c>
      <c r="F394">
        <v>129.55000000000001</v>
      </c>
      <c r="G394">
        <v>149.38</v>
      </c>
      <c r="H394">
        <v>103</v>
      </c>
      <c r="I394">
        <v>101.3</v>
      </c>
      <c r="J394">
        <v>105.55</v>
      </c>
      <c r="K394">
        <v>115.45</v>
      </c>
      <c r="L394">
        <v>96.15</v>
      </c>
      <c r="Q394">
        <v>0.22397606551959781</v>
      </c>
      <c r="R394">
        <v>0.26725840109365279</v>
      </c>
      <c r="S394">
        <v>0.2015072829897917</v>
      </c>
      <c r="T394">
        <v>0.24720830412267189</v>
      </c>
      <c r="U394">
        <v>0.19735526033465289</v>
      </c>
      <c r="V394">
        <v>0.59140808730447092</v>
      </c>
      <c r="W394">
        <v>0.20820985078714571</v>
      </c>
      <c r="X394">
        <v>0.5343190149559468</v>
      </c>
      <c r="Y394">
        <v>0.56028781985514631</v>
      </c>
      <c r="Z394">
        <v>0.55116151798826796</v>
      </c>
      <c r="AA394">
        <v>0.52888335705996381</v>
      </c>
    </row>
    <row r="395" spans="1:27" x14ac:dyDescent="0.4">
      <c r="A395" s="1">
        <v>45903</v>
      </c>
      <c r="B395">
        <v>260</v>
      </c>
      <c r="C395">
        <v>212.5</v>
      </c>
      <c r="D395">
        <v>178.5</v>
      </c>
      <c r="E395">
        <v>160.66</v>
      </c>
      <c r="F395">
        <v>129.25</v>
      </c>
      <c r="G395">
        <v>148.5</v>
      </c>
      <c r="H395">
        <v>101.35</v>
      </c>
      <c r="I395">
        <v>101.25</v>
      </c>
      <c r="J395">
        <v>105.2</v>
      </c>
      <c r="K395">
        <v>115.7</v>
      </c>
      <c r="L395">
        <v>96.1</v>
      </c>
      <c r="Q395">
        <v>0.2273908846753738</v>
      </c>
      <c r="R395">
        <v>0.2791659305756275</v>
      </c>
      <c r="S395">
        <v>0.20720147256250121</v>
      </c>
      <c r="T395">
        <v>0.2557354036997122</v>
      </c>
      <c r="U395">
        <v>0.1999306785428929</v>
      </c>
      <c r="V395">
        <v>0.63195866214422081</v>
      </c>
      <c r="W395">
        <v>0.22615398302070841</v>
      </c>
      <c r="X395">
        <v>0.53742055211051842</v>
      </c>
      <c r="Y395">
        <v>0.57301571517445993</v>
      </c>
      <c r="Z395">
        <v>0.55887014097746868</v>
      </c>
      <c r="AA395">
        <v>0.53237749820421576</v>
      </c>
    </row>
    <row r="396" spans="1:27" x14ac:dyDescent="0.4">
      <c r="A396" s="1">
        <v>45904</v>
      </c>
      <c r="B396">
        <v>262.89999999999998</v>
      </c>
      <c r="C396">
        <v>212.65</v>
      </c>
      <c r="D396">
        <v>181.5</v>
      </c>
      <c r="E396">
        <v>163</v>
      </c>
      <c r="F396">
        <v>131.5</v>
      </c>
      <c r="G396">
        <v>148.19999999999999</v>
      </c>
      <c r="H396">
        <v>104.25</v>
      </c>
      <c r="I396">
        <v>101.95</v>
      </c>
      <c r="J396">
        <v>107.05</v>
      </c>
      <c r="K396">
        <v>116.95</v>
      </c>
      <c r="L396">
        <v>96.7</v>
      </c>
      <c r="Q396">
        <v>0.2128243799890196</v>
      </c>
      <c r="R396">
        <v>0.28181140323479181</v>
      </c>
      <c r="S396">
        <v>0.19282899876493159</v>
      </c>
      <c r="T396">
        <v>0.22732894619455349</v>
      </c>
      <c r="U396">
        <v>0.18782078308038469</v>
      </c>
      <c r="V396">
        <v>0.65155957271511777</v>
      </c>
      <c r="W396">
        <v>0.19812947044884791</v>
      </c>
      <c r="X396">
        <v>0.52691464443864477</v>
      </c>
      <c r="Y396">
        <v>0.55352435803781153</v>
      </c>
      <c r="Z396">
        <v>0.53145385891729879</v>
      </c>
      <c r="AA396">
        <v>0.52200265135589474</v>
      </c>
    </row>
    <row r="397" spans="1:27" x14ac:dyDescent="0.4">
      <c r="A397" s="1">
        <v>45905</v>
      </c>
      <c r="B397">
        <v>267</v>
      </c>
      <c r="C397">
        <v>212.6</v>
      </c>
      <c r="D397">
        <v>183.7</v>
      </c>
      <c r="E397">
        <v>164.46</v>
      </c>
      <c r="F397">
        <v>133.25</v>
      </c>
      <c r="G397">
        <v>149.25</v>
      </c>
      <c r="H397">
        <v>105.3</v>
      </c>
      <c r="I397">
        <v>101.95</v>
      </c>
      <c r="J397">
        <v>108.4</v>
      </c>
      <c r="K397">
        <v>117.75</v>
      </c>
      <c r="L397">
        <v>96.85</v>
      </c>
      <c r="Q397">
        <v>0.19200685166156439</v>
      </c>
      <c r="R397">
        <v>0.28883003539027008</v>
      </c>
      <c r="S397">
        <v>0.1901137681144825</v>
      </c>
      <c r="T397">
        <v>0.21091666962291669</v>
      </c>
      <c r="U397">
        <v>0.17878353604189509</v>
      </c>
      <c r="V397">
        <v>0.61853766440167457</v>
      </c>
      <c r="W397">
        <v>0.189011751994311</v>
      </c>
      <c r="X397">
        <v>0.44233662506833699</v>
      </c>
      <c r="Y397">
        <v>0.54783431657839876</v>
      </c>
      <c r="Z397">
        <v>0.52662426339065904</v>
      </c>
      <c r="AA397">
        <v>0.52121342611691801</v>
      </c>
    </row>
    <row r="398" spans="1:27" x14ac:dyDescent="0.4">
      <c r="A398" s="1">
        <v>45908</v>
      </c>
      <c r="B398">
        <v>263</v>
      </c>
      <c r="C398">
        <v>209.5</v>
      </c>
      <c r="D398">
        <v>177.8</v>
      </c>
      <c r="E398">
        <v>161.1</v>
      </c>
      <c r="F398">
        <v>130.94999999999999</v>
      </c>
      <c r="G398">
        <v>148</v>
      </c>
      <c r="H398">
        <v>102.25</v>
      </c>
      <c r="I398">
        <v>99.5</v>
      </c>
      <c r="J398">
        <v>106.95</v>
      </c>
      <c r="K398">
        <v>117.2</v>
      </c>
      <c r="L398">
        <v>92.75</v>
      </c>
      <c r="Q398">
        <v>0.21904512406324261</v>
      </c>
      <c r="R398">
        <v>0.38009457879891051</v>
      </c>
      <c r="S398">
        <v>0.21622764241407269</v>
      </c>
      <c r="T398">
        <v>0.26343429196968171</v>
      </c>
      <c r="U398">
        <v>0.1942504169186188</v>
      </c>
      <c r="V398">
        <v>0.69411283499593301</v>
      </c>
      <c r="W398">
        <v>0.22301047950263311</v>
      </c>
      <c r="X398">
        <v>0.58197278222367232</v>
      </c>
      <c r="Y398">
        <v>0.57223187371707651</v>
      </c>
      <c r="Z398">
        <v>0.55603409911323376</v>
      </c>
      <c r="AA398">
        <v>0.62174526974537636</v>
      </c>
    </row>
    <row r="399" spans="1:27" x14ac:dyDescent="0.4">
      <c r="A399" s="1">
        <v>45909</v>
      </c>
      <c r="B399">
        <v>262.5</v>
      </c>
      <c r="C399">
        <v>211.45</v>
      </c>
      <c r="D399">
        <v>178.6</v>
      </c>
      <c r="E399">
        <v>162.5</v>
      </c>
      <c r="F399">
        <v>132.095</v>
      </c>
      <c r="G399">
        <v>148.94999999999999</v>
      </c>
      <c r="H399">
        <v>103.35</v>
      </c>
      <c r="I399">
        <v>99.38</v>
      </c>
      <c r="J399">
        <v>106.7</v>
      </c>
      <c r="K399">
        <v>117.4</v>
      </c>
      <c r="L399">
        <v>94.65</v>
      </c>
      <c r="Q399">
        <v>0.2236218566223786</v>
      </c>
      <c r="R399">
        <v>0.3409009270458957</v>
      </c>
      <c r="S399">
        <v>0.21306791501546041</v>
      </c>
      <c r="T399">
        <v>0.24697122772965291</v>
      </c>
      <c r="U399">
        <v>0.18850751808265689</v>
      </c>
      <c r="V399">
        <v>0.66337251076521142</v>
      </c>
      <c r="W399">
        <v>0.2129613425467583</v>
      </c>
      <c r="X399">
        <v>0.58678576460491383</v>
      </c>
      <c r="Y399">
        <v>0.58022032151276604</v>
      </c>
      <c r="Z399">
        <v>0.55983259766874216</v>
      </c>
      <c r="AA399">
        <v>0.5800953359437665</v>
      </c>
    </row>
    <row r="400" spans="1:27" x14ac:dyDescent="0.4">
      <c r="A400" s="1">
        <v>45910</v>
      </c>
      <c r="B400">
        <v>266.35000000000002</v>
      </c>
      <c r="C400">
        <v>215.5</v>
      </c>
      <c r="D400">
        <v>183.21</v>
      </c>
      <c r="E400">
        <v>162.81</v>
      </c>
      <c r="F400">
        <v>133.25</v>
      </c>
      <c r="G400">
        <v>152.1</v>
      </c>
      <c r="H400">
        <v>105.05</v>
      </c>
      <c r="I400">
        <v>102.7</v>
      </c>
      <c r="J400">
        <v>107.85</v>
      </c>
      <c r="K400">
        <v>119.45</v>
      </c>
      <c r="L400">
        <v>96.399000000000001</v>
      </c>
      <c r="Q400">
        <v>0.20365209210737839</v>
      </c>
      <c r="R400">
        <v>0.2788118092029292</v>
      </c>
      <c r="S400">
        <v>0.1902277753014531</v>
      </c>
      <c r="T400">
        <v>0.245448449934417</v>
      </c>
      <c r="U400">
        <v>0.1827721555716825</v>
      </c>
      <c r="V400">
        <v>0.54599770453407104</v>
      </c>
      <c r="W400">
        <v>0.19710213999933951</v>
      </c>
      <c r="X400">
        <v>0.52639793430289927</v>
      </c>
      <c r="Y400">
        <v>0.57231100952317771</v>
      </c>
      <c r="Z400">
        <v>0.51760684831183323</v>
      </c>
      <c r="AA400">
        <v>0.54339247145704594</v>
      </c>
    </row>
    <row r="401" spans="1:27" x14ac:dyDescent="0.4">
      <c r="A401" s="1">
        <v>45911</v>
      </c>
      <c r="B401">
        <v>270.25</v>
      </c>
      <c r="C401">
        <v>218.1</v>
      </c>
      <c r="D401">
        <v>186.75</v>
      </c>
      <c r="E401">
        <v>167.25</v>
      </c>
      <c r="F401">
        <v>134.94999999999999</v>
      </c>
      <c r="G401">
        <v>154</v>
      </c>
      <c r="H401">
        <v>107.1</v>
      </c>
      <c r="I401">
        <v>103.4</v>
      </c>
      <c r="J401">
        <v>108.5</v>
      </c>
      <c r="K401">
        <v>119.8</v>
      </c>
      <c r="L401">
        <v>97.7</v>
      </c>
      <c r="Q401">
        <v>0.18390966060580369</v>
      </c>
      <c r="R401">
        <v>0.2169471809526019</v>
      </c>
      <c r="S401">
        <v>0.17353549660798229</v>
      </c>
      <c r="T401">
        <v>0.18944340630008419</v>
      </c>
      <c r="U401">
        <v>0.174074748805501</v>
      </c>
      <c r="V401">
        <v>0.48538337243838831</v>
      </c>
      <c r="W401">
        <v>0.17828560997615681</v>
      </c>
      <c r="X401">
        <v>0.51586199692029266</v>
      </c>
      <c r="Y401">
        <v>0.56935938941322117</v>
      </c>
      <c r="Z401">
        <v>0.51657392288411697</v>
      </c>
      <c r="AA401">
        <v>0.51753951148634147</v>
      </c>
    </row>
    <row r="402" spans="1:27" x14ac:dyDescent="0.4">
      <c r="A402" s="1">
        <v>45912</v>
      </c>
      <c r="B402">
        <v>270.05</v>
      </c>
      <c r="C402">
        <v>217.9</v>
      </c>
      <c r="D402">
        <v>185.2</v>
      </c>
      <c r="E402">
        <v>167.25</v>
      </c>
      <c r="F402">
        <v>133.05000000000001</v>
      </c>
      <c r="G402">
        <v>152.85</v>
      </c>
      <c r="H402">
        <v>107.65</v>
      </c>
      <c r="I402">
        <v>103</v>
      </c>
      <c r="J402">
        <v>108</v>
      </c>
      <c r="K402">
        <v>119.9</v>
      </c>
      <c r="L402">
        <v>97.98</v>
      </c>
      <c r="Q402">
        <v>0.18657312670921569</v>
      </c>
      <c r="R402">
        <v>0.21482877074433551</v>
      </c>
      <c r="S402">
        <v>0.1822066265359337</v>
      </c>
      <c r="T402">
        <v>0.1917774666383921</v>
      </c>
      <c r="U402">
        <v>0.18552526762449281</v>
      </c>
      <c r="V402">
        <v>0.53127524713433683</v>
      </c>
      <c r="W402">
        <v>0.17412374193974769</v>
      </c>
      <c r="X402">
        <v>0.5253269344958581</v>
      </c>
      <c r="Y402">
        <v>0.57405010449319327</v>
      </c>
      <c r="Z402">
        <v>0.52042885554241969</v>
      </c>
      <c r="AA402">
        <v>0.51395109502501279</v>
      </c>
    </row>
    <row r="403" spans="1:27" x14ac:dyDescent="0.4">
      <c r="A403" s="1">
        <v>45915</v>
      </c>
      <c r="B403">
        <v>266.75</v>
      </c>
      <c r="C403">
        <v>218.5</v>
      </c>
      <c r="D403">
        <v>182</v>
      </c>
      <c r="E403">
        <v>166.5</v>
      </c>
      <c r="F403">
        <v>133.19999999999999</v>
      </c>
      <c r="G403">
        <v>153.5</v>
      </c>
      <c r="H403">
        <v>105.5</v>
      </c>
      <c r="I403">
        <v>101.7</v>
      </c>
      <c r="J403">
        <v>107.8</v>
      </c>
      <c r="K403">
        <v>119</v>
      </c>
      <c r="L403">
        <v>97.433999999999997</v>
      </c>
      <c r="Q403">
        <v>0.20985110895278439</v>
      </c>
      <c r="R403">
        <v>0.21816578819916699</v>
      </c>
      <c r="S403">
        <v>0.20163384553662159</v>
      </c>
      <c r="T403">
        <v>0.208837706138746</v>
      </c>
      <c r="U403">
        <v>0.18713094394468971</v>
      </c>
      <c r="V403">
        <v>0.52708489173427497</v>
      </c>
      <c r="W403">
        <v>0.19842718233069859</v>
      </c>
      <c r="X403">
        <v>0.55656875827568775</v>
      </c>
      <c r="Y403">
        <v>0.58707005677587798</v>
      </c>
      <c r="Z403">
        <v>0.55599706215160205</v>
      </c>
      <c r="AA403">
        <v>0.53332905212413773</v>
      </c>
    </row>
    <row r="404" spans="1:27" x14ac:dyDescent="0.4">
      <c r="A404" s="1">
        <v>45916</v>
      </c>
      <c r="B404">
        <v>267</v>
      </c>
      <c r="C404">
        <v>218.5</v>
      </c>
      <c r="D404">
        <v>182</v>
      </c>
      <c r="E404">
        <v>166.75</v>
      </c>
      <c r="F404">
        <v>129.6</v>
      </c>
      <c r="G404">
        <v>153.41999999999999</v>
      </c>
      <c r="H404">
        <v>104.6</v>
      </c>
      <c r="I404">
        <v>101.95</v>
      </c>
      <c r="J404">
        <v>106.25</v>
      </c>
      <c r="K404">
        <v>119.35</v>
      </c>
      <c r="L404">
        <v>97.35</v>
      </c>
      <c r="Q404">
        <v>0.21015400324945779</v>
      </c>
      <c r="R404">
        <v>0.22380848751278309</v>
      </c>
      <c r="S404">
        <v>0.20269667791943691</v>
      </c>
      <c r="T404">
        <v>0.20802452339115621</v>
      </c>
      <c r="U404">
        <v>0.2090283962367587</v>
      </c>
      <c r="V404">
        <v>0.53748791322237699</v>
      </c>
      <c r="W404">
        <v>0.20867897105464739</v>
      </c>
      <c r="X404">
        <v>0.55417670418438258</v>
      </c>
      <c r="Y404">
        <v>0.60699132011405355</v>
      </c>
      <c r="Z404">
        <v>0.55071777226423224</v>
      </c>
      <c r="AA404">
        <v>0.53777274679655263</v>
      </c>
    </row>
    <row r="405" spans="1:27" x14ac:dyDescent="0.4">
      <c r="A405" s="1">
        <v>45917</v>
      </c>
      <c r="B405">
        <v>264</v>
      </c>
      <c r="C405">
        <v>218.5</v>
      </c>
      <c r="D405">
        <v>179.25</v>
      </c>
      <c r="E405">
        <v>164.5</v>
      </c>
      <c r="F405">
        <v>127.75</v>
      </c>
      <c r="G405">
        <v>153.1</v>
      </c>
      <c r="H405">
        <v>102.95</v>
      </c>
      <c r="I405">
        <v>101.2</v>
      </c>
      <c r="J405">
        <v>104.9</v>
      </c>
      <c r="K405">
        <v>118.15</v>
      </c>
      <c r="L405">
        <v>96.8</v>
      </c>
      <c r="Q405">
        <v>0.2292472720810102</v>
      </c>
      <c r="R405">
        <v>0.2296047788064528</v>
      </c>
      <c r="S405">
        <v>0.21838605163859451</v>
      </c>
      <c r="T405">
        <v>0.24129677749565509</v>
      </c>
      <c r="U405">
        <v>0.2211451025046301</v>
      </c>
      <c r="V405">
        <v>0.51611244711260706</v>
      </c>
      <c r="W405">
        <v>0.22698231075571251</v>
      </c>
      <c r="X405">
        <v>0.57110931858411607</v>
      </c>
      <c r="Y405">
        <v>0.62623405562293777</v>
      </c>
      <c r="Z405">
        <v>0.58797134067231016</v>
      </c>
      <c r="AA405">
        <v>0.55279962771622471</v>
      </c>
    </row>
    <row r="406" spans="1:27" x14ac:dyDescent="0.4">
      <c r="A406" s="1">
        <v>45918</v>
      </c>
      <c r="B406">
        <v>252</v>
      </c>
      <c r="C406">
        <v>206.15</v>
      </c>
      <c r="D406">
        <v>170.75</v>
      </c>
      <c r="E406">
        <v>156</v>
      </c>
      <c r="F406">
        <v>119.9</v>
      </c>
      <c r="G406">
        <v>149.65</v>
      </c>
      <c r="H406">
        <v>94.95</v>
      </c>
      <c r="I406">
        <v>98.5</v>
      </c>
      <c r="J406">
        <v>102</v>
      </c>
      <c r="K406">
        <v>113.5</v>
      </c>
      <c r="L406">
        <v>92.8</v>
      </c>
      <c r="Q406">
        <v>0.30559018422906969</v>
      </c>
      <c r="R406">
        <v>0.5675943381864138</v>
      </c>
      <c r="S406">
        <v>0.26750825001241002</v>
      </c>
      <c r="T406">
        <v>0.3727954494999402</v>
      </c>
      <c r="U406">
        <v>0.2730027806330132</v>
      </c>
      <c r="V406">
        <v>0.71894015135753564</v>
      </c>
      <c r="W406">
        <v>0.31936276496684191</v>
      </c>
      <c r="X406">
        <v>0.62828240727519002</v>
      </c>
      <c r="Y406">
        <v>0.6665937084942819</v>
      </c>
      <c r="Z406">
        <v>0.72903716429183496</v>
      </c>
      <c r="AA406">
        <v>0.65176896567174047</v>
      </c>
    </row>
    <row r="407" spans="1:27" x14ac:dyDescent="0.4">
      <c r="A407" s="1">
        <v>45919</v>
      </c>
      <c r="B407">
        <v>238.6</v>
      </c>
      <c r="C407">
        <v>210</v>
      </c>
      <c r="D407">
        <v>162.9</v>
      </c>
      <c r="E407">
        <v>154</v>
      </c>
      <c r="F407">
        <v>117.25</v>
      </c>
      <c r="G407">
        <v>147</v>
      </c>
      <c r="H407">
        <v>92</v>
      </c>
      <c r="I407">
        <v>97.1</v>
      </c>
      <c r="J407">
        <v>97.2</v>
      </c>
      <c r="K407">
        <v>110.5</v>
      </c>
      <c r="L407">
        <v>91.95</v>
      </c>
      <c r="Q407">
        <v>0.40161689739634021</v>
      </c>
      <c r="R407">
        <v>0.46324380111004881</v>
      </c>
      <c r="S407">
        <v>0.3172491837835566</v>
      </c>
      <c r="T407">
        <v>0.410144176495638</v>
      </c>
      <c r="U407">
        <v>0.2925563836125063</v>
      </c>
      <c r="V407">
        <v>0.86239890906170158</v>
      </c>
      <c r="W407">
        <v>0.35846553663536668</v>
      </c>
      <c r="X407">
        <v>0.66094771985780965</v>
      </c>
      <c r="Y407">
        <v>0.73504948231441036</v>
      </c>
      <c r="Z407">
        <v>0.83297095792312292</v>
      </c>
      <c r="AA407">
        <v>0.67696152407739807</v>
      </c>
    </row>
    <row r="408" spans="1:27" x14ac:dyDescent="0.4">
      <c r="A408" s="1">
        <v>45922</v>
      </c>
      <c r="B408">
        <v>255</v>
      </c>
      <c r="C408">
        <v>216</v>
      </c>
      <c r="D408">
        <v>177</v>
      </c>
      <c r="E408">
        <v>163.1</v>
      </c>
      <c r="F408">
        <v>125.8</v>
      </c>
      <c r="G408">
        <v>152.44999999999999</v>
      </c>
      <c r="H408">
        <v>101.45</v>
      </c>
      <c r="I408">
        <v>100.95</v>
      </c>
      <c r="J408">
        <v>103</v>
      </c>
      <c r="K408">
        <v>116.05</v>
      </c>
      <c r="L408">
        <v>95.5</v>
      </c>
      <c r="Q408">
        <v>0.29485772734465071</v>
      </c>
      <c r="R408">
        <v>0.3248834046423511</v>
      </c>
      <c r="S408">
        <v>0.2365046783819853</v>
      </c>
      <c r="T408">
        <v>0.27607793763871008</v>
      </c>
      <c r="U408">
        <v>0.23804742174490159</v>
      </c>
      <c r="V408">
        <v>0.62914829012394258</v>
      </c>
      <c r="W408">
        <v>0.24971907472161819</v>
      </c>
      <c r="X408">
        <v>0.58881674074261448</v>
      </c>
      <c r="Y408">
        <v>0.6637498858609463</v>
      </c>
      <c r="Z408">
        <v>0.67663765424519073</v>
      </c>
      <c r="AA408">
        <v>0.5975067253578884</v>
      </c>
    </row>
    <row r="409" spans="1:27" x14ac:dyDescent="0.4">
      <c r="A409" s="1">
        <v>45923</v>
      </c>
      <c r="B409">
        <v>272</v>
      </c>
      <c r="C409">
        <v>217.35</v>
      </c>
      <c r="D409">
        <v>185</v>
      </c>
      <c r="E409">
        <v>166.55</v>
      </c>
      <c r="F409">
        <v>134</v>
      </c>
      <c r="G409">
        <v>154</v>
      </c>
      <c r="H409">
        <v>104.5</v>
      </c>
      <c r="I409">
        <v>103.95</v>
      </c>
      <c r="J409">
        <v>103.85</v>
      </c>
      <c r="K409">
        <v>118</v>
      </c>
      <c r="L409">
        <v>98.950999999999993</v>
      </c>
      <c r="Q409">
        <v>0.19378176098959929</v>
      </c>
      <c r="R409">
        <v>0.29734944295210008</v>
      </c>
      <c r="S409">
        <v>0.19449988493764989</v>
      </c>
      <c r="T409">
        <v>0.2292043288240812</v>
      </c>
      <c r="U409">
        <v>0.18920101608520051</v>
      </c>
      <c r="V409">
        <v>0.56840824365513276</v>
      </c>
      <c r="W409">
        <v>0.21834180742656931</v>
      </c>
      <c r="X409">
        <v>0.5326394305415324</v>
      </c>
      <c r="Y409">
        <v>0.65611619827474998</v>
      </c>
      <c r="Z409">
        <v>0.62682695948896849</v>
      </c>
      <c r="AA409">
        <v>0.52014067460169633</v>
      </c>
    </row>
    <row r="410" spans="1:27" x14ac:dyDescent="0.4">
      <c r="A410" s="1">
        <v>45924</v>
      </c>
      <c r="B410">
        <v>279.25</v>
      </c>
      <c r="C410">
        <v>222</v>
      </c>
      <c r="D410">
        <v>190.25</v>
      </c>
      <c r="E410">
        <v>170.5</v>
      </c>
      <c r="F410">
        <v>137.19999999999999</v>
      </c>
      <c r="G410">
        <v>156.29</v>
      </c>
      <c r="H410">
        <v>109.95</v>
      </c>
      <c r="I410">
        <v>106.7</v>
      </c>
      <c r="J410">
        <v>106.13</v>
      </c>
      <c r="K410">
        <v>119.8</v>
      </c>
      <c r="L410">
        <v>101.23</v>
      </c>
      <c r="Q410">
        <v>0.15557959311036931</v>
      </c>
      <c r="R410">
        <v>0.1891381197103135</v>
      </c>
      <c r="S410">
        <v>0.16891662259742329</v>
      </c>
      <c r="T410">
        <v>0.1779112290097534</v>
      </c>
      <c r="U410">
        <v>0.17190053812172379</v>
      </c>
      <c r="V410">
        <v>0.4780844080702531</v>
      </c>
      <c r="W410">
        <v>0.16519401705674289</v>
      </c>
      <c r="X410">
        <v>0.48413187209002601</v>
      </c>
      <c r="Y410">
        <v>0.63072516698143355</v>
      </c>
      <c r="Z410">
        <v>0.58305873129264663</v>
      </c>
      <c r="AA410">
        <v>0.47301429650253268</v>
      </c>
    </row>
    <row r="411" spans="1:27" x14ac:dyDescent="0.4">
      <c r="A411" s="1">
        <v>45925</v>
      </c>
      <c r="B411">
        <v>271.95</v>
      </c>
      <c r="C411">
        <v>219.25</v>
      </c>
      <c r="D411">
        <v>186.95</v>
      </c>
      <c r="E411">
        <v>166.6</v>
      </c>
      <c r="F411">
        <v>135</v>
      </c>
      <c r="G411">
        <v>155.78</v>
      </c>
      <c r="H411">
        <v>107.7</v>
      </c>
      <c r="I411">
        <v>105</v>
      </c>
      <c r="J411">
        <v>103.9</v>
      </c>
      <c r="K411">
        <v>116.705</v>
      </c>
      <c r="L411">
        <v>100.05500000000001</v>
      </c>
      <c r="Q411">
        <v>0.19747010474701471</v>
      </c>
      <c r="R411">
        <v>0.26296868114091848</v>
      </c>
      <c r="S411">
        <v>0.186539655405281</v>
      </c>
      <c r="T411">
        <v>0.23409029151588229</v>
      </c>
      <c r="U411">
        <v>0.1851300939859333</v>
      </c>
      <c r="V411">
        <v>0.50696491045994718</v>
      </c>
      <c r="W411">
        <v>0.188182522039961</v>
      </c>
      <c r="X411">
        <v>0.51747599345874273</v>
      </c>
      <c r="Y411">
        <v>0.66161530352931741</v>
      </c>
      <c r="Z411">
        <v>0.67805790026587254</v>
      </c>
      <c r="AA411">
        <v>0.50075875985658613</v>
      </c>
    </row>
    <row r="412" spans="1:27" x14ac:dyDescent="0.4">
      <c r="A412" s="1">
        <v>45926</v>
      </c>
      <c r="B412">
        <v>270.5</v>
      </c>
      <c r="C412">
        <v>219.9</v>
      </c>
      <c r="D412">
        <v>183.5</v>
      </c>
      <c r="E412">
        <v>165</v>
      </c>
      <c r="F412">
        <v>133.5</v>
      </c>
      <c r="G412">
        <v>156.05000000000001</v>
      </c>
      <c r="H412">
        <v>105</v>
      </c>
      <c r="I412">
        <v>104.5</v>
      </c>
      <c r="J412">
        <v>101.85</v>
      </c>
      <c r="K412">
        <v>116.2</v>
      </c>
      <c r="L412">
        <v>100.5</v>
      </c>
      <c r="Q412">
        <v>0.2075563887231629</v>
      </c>
      <c r="R412">
        <v>0.2533179874720895</v>
      </c>
      <c r="S412">
        <v>0.20560972038971431</v>
      </c>
      <c r="T412">
        <v>0.26025994205398151</v>
      </c>
      <c r="U412">
        <v>0.19465527853092629</v>
      </c>
      <c r="V412">
        <v>0.50295195761521183</v>
      </c>
      <c r="W412">
        <v>0.2169069975078593</v>
      </c>
      <c r="X412">
        <v>0.52921962028377145</v>
      </c>
      <c r="Y412">
        <v>0.69054782882073029</v>
      </c>
      <c r="Z412">
        <v>0.69858200125223846</v>
      </c>
      <c r="AA412">
        <v>0.4934772898290386</v>
      </c>
    </row>
    <row r="413" spans="1:27" x14ac:dyDescent="0.4">
      <c r="A413" s="1">
        <v>45929</v>
      </c>
      <c r="B413">
        <v>262.61200000000002</v>
      </c>
      <c r="C413">
        <v>220.05</v>
      </c>
      <c r="D413">
        <v>178.03</v>
      </c>
      <c r="E413">
        <v>163.9</v>
      </c>
      <c r="F413">
        <v>128</v>
      </c>
      <c r="G413">
        <v>155.4</v>
      </c>
      <c r="H413">
        <v>102.473</v>
      </c>
      <c r="I413">
        <v>103.6</v>
      </c>
      <c r="J413">
        <v>98.626000000000005</v>
      </c>
      <c r="K413">
        <v>114.8</v>
      </c>
      <c r="L413">
        <v>98.498999999999995</v>
      </c>
      <c r="Q413">
        <v>0.26104406845034589</v>
      </c>
      <c r="R413">
        <v>0.25906300728255782</v>
      </c>
      <c r="S413">
        <v>0.23910122422854191</v>
      </c>
      <c r="T413">
        <v>0.2864053672574754</v>
      </c>
      <c r="U413">
        <v>0.23080188040412569</v>
      </c>
      <c r="V413">
        <v>0.54080015955357275</v>
      </c>
      <c r="W413">
        <v>0.24807424969803429</v>
      </c>
      <c r="X413">
        <v>0.55390762576466834</v>
      </c>
      <c r="Y413">
        <v>0.74161888740516346</v>
      </c>
      <c r="Z413">
        <v>0.75985027323107401</v>
      </c>
      <c r="AA413">
        <v>0.54650452442052089</v>
      </c>
    </row>
    <row r="414" spans="1:27" x14ac:dyDescent="0.4">
      <c r="A414" s="1">
        <v>45930</v>
      </c>
      <c r="B414">
        <v>260</v>
      </c>
      <c r="C414">
        <v>219.6</v>
      </c>
      <c r="D414">
        <v>169.25</v>
      </c>
      <c r="E414">
        <v>160.5</v>
      </c>
      <c r="F414">
        <v>122.05</v>
      </c>
      <c r="G414">
        <v>156</v>
      </c>
      <c r="H414">
        <v>102</v>
      </c>
      <c r="I414">
        <v>98.29</v>
      </c>
      <c r="J414">
        <v>95</v>
      </c>
      <c r="K414">
        <v>111.5</v>
      </c>
      <c r="L414">
        <v>94.95</v>
      </c>
      <c r="Q414">
        <v>0.27992137853413801</v>
      </c>
      <c r="R414">
        <v>0.29142332065905829</v>
      </c>
      <c r="S414">
        <v>0.29261917856722819</v>
      </c>
      <c r="T414">
        <v>0.34439108005759911</v>
      </c>
      <c r="U414">
        <v>0.2709763811133955</v>
      </c>
      <c r="V414">
        <v>0.53786157814352242</v>
      </c>
      <c r="W414">
        <v>0.25476872531098749</v>
      </c>
      <c r="X414">
        <v>0.66824108089875456</v>
      </c>
      <c r="Y414">
        <v>0.79795721697033395</v>
      </c>
      <c r="Z414">
        <v>0.88040668633654995</v>
      </c>
      <c r="AA414">
        <v>0.63660159827373153</v>
      </c>
    </row>
    <row r="415" spans="1:27" x14ac:dyDescent="0.4">
      <c r="A415" s="1">
        <v>45931</v>
      </c>
      <c r="B415">
        <v>250</v>
      </c>
      <c r="C415">
        <v>217.35</v>
      </c>
      <c r="D415">
        <v>167.5</v>
      </c>
      <c r="E415">
        <v>160.5</v>
      </c>
      <c r="F415">
        <v>122.087</v>
      </c>
      <c r="G415">
        <v>154</v>
      </c>
      <c r="H415">
        <v>98</v>
      </c>
      <c r="I415">
        <v>98.5</v>
      </c>
      <c r="J415">
        <v>94.9</v>
      </c>
      <c r="K415">
        <v>112.65</v>
      </c>
      <c r="L415">
        <v>96.15</v>
      </c>
      <c r="Q415">
        <v>0.35046095055648419</v>
      </c>
      <c r="R415">
        <v>0.36560806725861278</v>
      </c>
      <c r="S415">
        <v>0.30508858070422878</v>
      </c>
      <c r="T415">
        <v>0.34827207128426468</v>
      </c>
      <c r="U415">
        <v>0.27180647308857292</v>
      </c>
      <c r="V415">
        <v>0.64041934775806664</v>
      </c>
      <c r="W415">
        <v>0.30297945345527239</v>
      </c>
      <c r="X415">
        <v>0.66666826549438241</v>
      </c>
      <c r="Y415">
        <v>0.80350727344779083</v>
      </c>
      <c r="Z415">
        <v>0.84864879767283707</v>
      </c>
      <c r="AA415">
        <v>0.60935895443386645</v>
      </c>
    </row>
    <row r="416" spans="1:27" x14ac:dyDescent="0.4">
      <c r="A416" s="1">
        <v>45932</v>
      </c>
      <c r="B416">
        <v>256.5</v>
      </c>
      <c r="C416">
        <v>220</v>
      </c>
      <c r="D416">
        <v>172.5</v>
      </c>
      <c r="E416">
        <v>161.94999999999999</v>
      </c>
      <c r="F416">
        <v>123</v>
      </c>
      <c r="G416">
        <v>155.80000000000001</v>
      </c>
      <c r="H416">
        <v>100</v>
      </c>
      <c r="I416">
        <v>99.61</v>
      </c>
      <c r="J416">
        <v>97.01</v>
      </c>
      <c r="K416">
        <v>113.7</v>
      </c>
      <c r="L416">
        <v>96.7</v>
      </c>
      <c r="Q416">
        <v>0.30772744575182109</v>
      </c>
      <c r="R416">
        <v>0.29681087335851541</v>
      </c>
      <c r="S416">
        <v>0.27541462184091448</v>
      </c>
      <c r="T416">
        <v>0.32810295913730081</v>
      </c>
      <c r="U416">
        <v>0.266646157534635</v>
      </c>
      <c r="V416">
        <v>0.56559526576049957</v>
      </c>
      <c r="W416">
        <v>0.280685488194233</v>
      </c>
      <c r="X416">
        <v>0.64513975079563946</v>
      </c>
      <c r="Y416">
        <v>0.77365699306237934</v>
      </c>
      <c r="Z416">
        <v>0.81836297817306414</v>
      </c>
      <c r="AA416">
        <v>0.59877096265862517</v>
      </c>
    </row>
    <row r="417" spans="1:27" x14ac:dyDescent="0.4">
      <c r="A417" s="1">
        <v>45933</v>
      </c>
      <c r="B417">
        <v>263.5</v>
      </c>
      <c r="C417">
        <v>222.35</v>
      </c>
      <c r="D417">
        <v>179.5</v>
      </c>
      <c r="E417">
        <v>166.5</v>
      </c>
      <c r="F417">
        <v>128.5</v>
      </c>
      <c r="G417">
        <v>157.63</v>
      </c>
      <c r="H417">
        <v>102.3</v>
      </c>
      <c r="I417">
        <v>103.35</v>
      </c>
      <c r="J417">
        <v>101.95</v>
      </c>
      <c r="K417">
        <v>117.3</v>
      </c>
      <c r="L417">
        <v>98.748999999999995</v>
      </c>
      <c r="Q417">
        <v>0.26392415867835511</v>
      </c>
      <c r="R417">
        <v>0.2388255407292007</v>
      </c>
      <c r="S417">
        <v>0.2357129381574341</v>
      </c>
      <c r="T417">
        <v>0.25969979752897948</v>
      </c>
      <c r="U417">
        <v>0.23155008415764311</v>
      </c>
      <c r="V417">
        <v>0.48708772370927911</v>
      </c>
      <c r="W417">
        <v>0.25573298349920992</v>
      </c>
      <c r="X417">
        <v>0.5691344575448275</v>
      </c>
      <c r="Y417">
        <v>0.70626314829061432</v>
      </c>
      <c r="Z417">
        <v>0.70643673188294909</v>
      </c>
      <c r="AA417">
        <v>0.55191654717752914</v>
      </c>
    </row>
    <row r="418" spans="1:27" x14ac:dyDescent="0.4">
      <c r="A418" s="1">
        <v>45936</v>
      </c>
      <c r="B418">
        <v>263.10000000000002</v>
      </c>
      <c r="C418">
        <v>222.15</v>
      </c>
      <c r="D418">
        <v>180</v>
      </c>
      <c r="E418">
        <v>166.2</v>
      </c>
      <c r="F418">
        <v>130.25</v>
      </c>
      <c r="G418">
        <v>157.30000000000001</v>
      </c>
      <c r="H418">
        <v>103.5</v>
      </c>
      <c r="I418">
        <v>103.8</v>
      </c>
      <c r="J418">
        <v>102.85</v>
      </c>
      <c r="K418">
        <v>119.09</v>
      </c>
      <c r="L418">
        <v>99</v>
      </c>
      <c r="Q418">
        <v>0.2730799053023098</v>
      </c>
      <c r="R418">
        <v>0.27267846263551582</v>
      </c>
      <c r="S418">
        <v>0.236597101902768</v>
      </c>
      <c r="T418">
        <v>0.2742369220905142</v>
      </c>
      <c r="U418">
        <v>0.22345622473796459</v>
      </c>
      <c r="V418">
        <v>0.52898501375912532</v>
      </c>
      <c r="W418">
        <v>0.24660637605047531</v>
      </c>
      <c r="X418">
        <v>0.56788602944467137</v>
      </c>
      <c r="Y418">
        <v>0.70015053808814776</v>
      </c>
      <c r="Z418">
        <v>0.66612616394544411</v>
      </c>
      <c r="AA418">
        <v>0.55459069187774035</v>
      </c>
    </row>
    <row r="419" spans="1:27" x14ac:dyDescent="0.4">
      <c r="A419" s="1">
        <v>45937</v>
      </c>
      <c r="B419">
        <v>261.05799999999999</v>
      </c>
      <c r="C419">
        <v>219.6</v>
      </c>
      <c r="D419">
        <v>176</v>
      </c>
      <c r="E419">
        <v>163.69999999999999</v>
      </c>
      <c r="F419">
        <v>127.5</v>
      </c>
      <c r="G419">
        <v>154.4</v>
      </c>
      <c r="H419">
        <v>101.25</v>
      </c>
      <c r="I419">
        <v>101.7</v>
      </c>
      <c r="J419">
        <v>101.6</v>
      </c>
      <c r="K419">
        <v>116.3</v>
      </c>
      <c r="L419">
        <v>97</v>
      </c>
      <c r="Q419">
        <v>0.28883786526093841</v>
      </c>
      <c r="R419">
        <v>0.35608685060640421</v>
      </c>
      <c r="S419">
        <v>0.26113763040318438</v>
      </c>
      <c r="T419">
        <v>0.31811406959760619</v>
      </c>
      <c r="U419">
        <v>0.2419687427086443</v>
      </c>
      <c r="V419">
        <v>0.69527323053410772</v>
      </c>
      <c r="W419">
        <v>0.27375347755043211</v>
      </c>
      <c r="X419">
        <v>0.61458877598943373</v>
      </c>
      <c r="Y419">
        <v>0.72102347709216574</v>
      </c>
      <c r="Z419">
        <v>0.7654354208226819</v>
      </c>
      <c r="AA419">
        <v>0.60720408625142031</v>
      </c>
    </row>
    <row r="420" spans="1:27" x14ac:dyDescent="0.4">
      <c r="A420" s="1">
        <v>45938</v>
      </c>
      <c r="B420">
        <v>257</v>
      </c>
      <c r="C420">
        <v>216.7</v>
      </c>
      <c r="D420">
        <v>175.25</v>
      </c>
      <c r="E420">
        <v>162.1</v>
      </c>
      <c r="F420">
        <v>125.95</v>
      </c>
      <c r="G420">
        <v>154.5</v>
      </c>
      <c r="H420">
        <v>101</v>
      </c>
      <c r="I420">
        <v>101.6</v>
      </c>
      <c r="J420">
        <v>101.9</v>
      </c>
      <c r="K420">
        <v>117</v>
      </c>
      <c r="L420">
        <v>96.698999999999998</v>
      </c>
      <c r="Q420">
        <v>0.31894680845684958</v>
      </c>
      <c r="R420">
        <v>0.46635983984275509</v>
      </c>
      <c r="S420">
        <v>0.26696228470453598</v>
      </c>
      <c r="T420">
        <v>0.34906108163447241</v>
      </c>
      <c r="U420">
        <v>0.25318492080381211</v>
      </c>
      <c r="V420">
        <v>0.79289019468904909</v>
      </c>
      <c r="W420">
        <v>0.27823035973876747</v>
      </c>
      <c r="X420">
        <v>0.61967350042010305</v>
      </c>
      <c r="Y420">
        <v>0.71896382795245928</v>
      </c>
      <c r="Z420">
        <v>0.74784796349706273</v>
      </c>
      <c r="AA420">
        <v>0.61823244983110937</v>
      </c>
    </row>
    <row r="421" spans="1:27" x14ac:dyDescent="0.4">
      <c r="A421" s="1">
        <v>45939</v>
      </c>
      <c r="B421">
        <v>273.35000000000002</v>
      </c>
      <c r="C421">
        <v>222.5</v>
      </c>
      <c r="D421">
        <v>186.5</v>
      </c>
      <c r="E421">
        <v>171</v>
      </c>
      <c r="F421">
        <v>131.5</v>
      </c>
      <c r="G421">
        <v>158.65</v>
      </c>
      <c r="H421">
        <v>108.25</v>
      </c>
      <c r="I421">
        <v>107.75</v>
      </c>
      <c r="J421">
        <v>108</v>
      </c>
      <c r="K421">
        <v>122.55</v>
      </c>
      <c r="L421">
        <v>95.388000000000005</v>
      </c>
      <c r="Q421">
        <v>0.21486487771801641</v>
      </c>
      <c r="R421">
        <v>0.28395604725919438</v>
      </c>
      <c r="S421">
        <v>0.20423517331353619</v>
      </c>
      <c r="T421">
        <v>0.2107252122223062</v>
      </c>
      <c r="U421">
        <v>0.2185636532698704</v>
      </c>
      <c r="V421">
        <v>0.48839597577717342</v>
      </c>
      <c r="W421">
        <v>0.1996673322183139</v>
      </c>
      <c r="X421">
        <v>0.49766918188624443</v>
      </c>
      <c r="Y421">
        <v>0.64061953685420603</v>
      </c>
      <c r="Z421">
        <v>0.57968323327679538</v>
      </c>
      <c r="AA421">
        <v>0.65630738008950118</v>
      </c>
    </row>
    <row r="422" spans="1:27" x14ac:dyDescent="0.4">
      <c r="A422" s="1">
        <v>45943</v>
      </c>
      <c r="B422">
        <v>273.75</v>
      </c>
      <c r="C422">
        <v>222.5</v>
      </c>
      <c r="D422">
        <v>187.9</v>
      </c>
      <c r="E422">
        <v>170</v>
      </c>
      <c r="F422">
        <v>135.80000000000001</v>
      </c>
      <c r="G422">
        <v>156</v>
      </c>
      <c r="H422">
        <v>107.9</v>
      </c>
      <c r="I422">
        <v>108.3</v>
      </c>
      <c r="J422">
        <v>108.7</v>
      </c>
      <c r="K422">
        <v>123</v>
      </c>
      <c r="L422">
        <v>101.5</v>
      </c>
      <c r="Q422">
        <v>0.2202762518778395</v>
      </c>
      <c r="R422">
        <v>0.32333580685267849</v>
      </c>
      <c r="S422">
        <v>0.2012970691715916</v>
      </c>
      <c r="T422">
        <v>0.2381086145727998</v>
      </c>
      <c r="U422">
        <v>0.1962042375243303</v>
      </c>
      <c r="V422">
        <v>0.68068944323243352</v>
      </c>
      <c r="W422">
        <v>0.20848498380689939</v>
      </c>
      <c r="X422">
        <v>0.49641815481835821</v>
      </c>
      <c r="Y422">
        <v>0.64209992794361515</v>
      </c>
      <c r="Z422">
        <v>0.58945654752259158</v>
      </c>
      <c r="AA422">
        <v>0.51494781804079004</v>
      </c>
    </row>
    <row r="423" spans="1:27" x14ac:dyDescent="0.4">
      <c r="A423" s="1">
        <v>45944</v>
      </c>
      <c r="B423">
        <v>265.2</v>
      </c>
      <c r="C423">
        <v>220</v>
      </c>
      <c r="D423">
        <v>184.95</v>
      </c>
      <c r="E423">
        <v>168</v>
      </c>
      <c r="F423">
        <v>136.5</v>
      </c>
      <c r="G423">
        <v>155</v>
      </c>
      <c r="H423">
        <v>107</v>
      </c>
      <c r="I423">
        <v>105.8</v>
      </c>
      <c r="J423">
        <v>108.25</v>
      </c>
      <c r="K423">
        <v>122</v>
      </c>
      <c r="L423">
        <v>99.4</v>
      </c>
      <c r="Q423">
        <v>0.2773949930778955</v>
      </c>
      <c r="R423">
        <v>0.42465190616536269</v>
      </c>
      <c r="S423">
        <v>0.21859885916989</v>
      </c>
      <c r="T423">
        <v>0.27323408629516072</v>
      </c>
      <c r="U423">
        <v>0.19296363949674469</v>
      </c>
      <c r="V423">
        <v>0.69633784845234203</v>
      </c>
      <c r="W423">
        <v>0.21941555761163761</v>
      </c>
      <c r="X423">
        <v>0.54819953855921544</v>
      </c>
      <c r="Y423">
        <v>0.65190808202286776</v>
      </c>
      <c r="Z423">
        <v>0.628739707398148</v>
      </c>
      <c r="AA423">
        <v>0.56888761534488241</v>
      </c>
    </row>
    <row r="424" spans="1:27" x14ac:dyDescent="0.4">
      <c r="A424" s="1">
        <v>45945</v>
      </c>
      <c r="B424">
        <v>270</v>
      </c>
      <c r="C424">
        <v>220</v>
      </c>
      <c r="D424">
        <v>186</v>
      </c>
      <c r="E424">
        <v>168.55</v>
      </c>
      <c r="F424">
        <v>135.5</v>
      </c>
      <c r="G424">
        <v>155.88999999999999</v>
      </c>
      <c r="H424">
        <v>107</v>
      </c>
      <c r="I424">
        <v>105.5</v>
      </c>
      <c r="J424">
        <v>110.2</v>
      </c>
      <c r="K424">
        <v>121.95</v>
      </c>
      <c r="L424">
        <v>99.84</v>
      </c>
      <c r="Q424">
        <v>0.24809445029599159</v>
      </c>
      <c r="R424">
        <v>0.43825799970560519</v>
      </c>
      <c r="S424">
        <v>0.21398943105561211</v>
      </c>
      <c r="T424">
        <v>0.26783850330655362</v>
      </c>
      <c r="U424">
        <v>0.19982128415499939</v>
      </c>
      <c r="V424">
        <v>0.71667633375888551</v>
      </c>
      <c r="W424">
        <v>0.22077775820063039</v>
      </c>
      <c r="X424">
        <v>0.5569815003634685</v>
      </c>
      <c r="Y424">
        <v>0.63378787701741524</v>
      </c>
      <c r="Z424">
        <v>0.64352820014775336</v>
      </c>
      <c r="AA424">
        <v>0.56099590842224423</v>
      </c>
    </row>
    <row r="425" spans="1:27" x14ac:dyDescent="0.4">
      <c r="A425" s="1">
        <v>45946</v>
      </c>
      <c r="B425">
        <v>272.35000000000002</v>
      </c>
      <c r="C425">
        <v>222.3</v>
      </c>
      <c r="D425">
        <v>187.2</v>
      </c>
      <c r="E425">
        <v>170</v>
      </c>
      <c r="F425">
        <v>137</v>
      </c>
      <c r="G425">
        <v>157.25</v>
      </c>
      <c r="H425">
        <v>107</v>
      </c>
      <c r="I425">
        <v>106.8</v>
      </c>
      <c r="J425">
        <v>109.7</v>
      </c>
      <c r="K425">
        <v>123.1</v>
      </c>
      <c r="L425">
        <v>100</v>
      </c>
      <c r="Q425">
        <v>0.23518393633278559</v>
      </c>
      <c r="R425">
        <v>0.36458797208813659</v>
      </c>
      <c r="S425">
        <v>0.20858752093971339</v>
      </c>
      <c r="T425">
        <v>0.2479807186982286</v>
      </c>
      <c r="U425">
        <v>0.19181471211968959</v>
      </c>
      <c r="V425">
        <v>0.66318866187234138</v>
      </c>
      <c r="W425">
        <v>0.22214859006836571</v>
      </c>
      <c r="X425">
        <v>0.53313778660061606</v>
      </c>
      <c r="Y425">
        <v>0.6419889087626337</v>
      </c>
      <c r="Z425">
        <v>0.61245625098280021</v>
      </c>
      <c r="AA425">
        <v>0.56008637463605193</v>
      </c>
    </row>
    <row r="426" spans="1:27" x14ac:dyDescent="0.4">
      <c r="A426" s="1">
        <v>45947</v>
      </c>
      <c r="B426">
        <v>278</v>
      </c>
      <c r="C426">
        <v>224.8</v>
      </c>
      <c r="D426">
        <v>189.95</v>
      </c>
      <c r="E426">
        <v>171.9</v>
      </c>
      <c r="F426">
        <v>137.75</v>
      </c>
      <c r="G426">
        <v>158.5</v>
      </c>
      <c r="H426">
        <v>109.4</v>
      </c>
      <c r="I426">
        <v>107.15</v>
      </c>
      <c r="J426">
        <v>109.95</v>
      </c>
      <c r="K426">
        <v>124.1</v>
      </c>
      <c r="L426">
        <v>101.75</v>
      </c>
      <c r="Q426">
        <v>0.2020788547873156</v>
      </c>
      <c r="R426">
        <v>0.28622527296803951</v>
      </c>
      <c r="S426">
        <v>0.1946177433190911</v>
      </c>
      <c r="T426">
        <v>0.22138848135744041</v>
      </c>
      <c r="U426">
        <v>0.188302648156189</v>
      </c>
      <c r="V426">
        <v>0.57995449780880459</v>
      </c>
      <c r="W426">
        <v>0.1948310068907301</v>
      </c>
      <c r="X426">
        <v>0.52864958110230209</v>
      </c>
      <c r="Y426">
        <v>0.64708909553659932</v>
      </c>
      <c r="Z426">
        <v>0.60315538373063915</v>
      </c>
      <c r="AA426">
        <v>0.52020455222627282</v>
      </c>
    </row>
    <row r="427" spans="1:27" x14ac:dyDescent="0.4">
      <c r="A427" s="1">
        <v>45950</v>
      </c>
      <c r="B427">
        <v>277.35000000000002</v>
      </c>
      <c r="C427">
        <v>225</v>
      </c>
      <c r="D427">
        <v>190.75</v>
      </c>
      <c r="E427">
        <v>172.25</v>
      </c>
      <c r="F427">
        <v>136.5</v>
      </c>
      <c r="G427">
        <v>158.58000000000001</v>
      </c>
      <c r="H427">
        <v>109.8</v>
      </c>
      <c r="I427">
        <v>106.85</v>
      </c>
      <c r="J427">
        <v>109.9</v>
      </c>
      <c r="K427">
        <v>124.25</v>
      </c>
      <c r="L427">
        <v>101.7</v>
      </c>
      <c r="Q427">
        <v>0.2119662401995584</v>
      </c>
      <c r="R427">
        <v>0.31203529521719447</v>
      </c>
      <c r="S427">
        <v>0.1940300216325874</v>
      </c>
      <c r="T427">
        <v>0.2255068896816369</v>
      </c>
      <c r="U427">
        <v>0.1984403165797938</v>
      </c>
      <c r="V427">
        <v>0.61390308443502384</v>
      </c>
      <c r="W427">
        <v>0.1976496675872508</v>
      </c>
      <c r="X427">
        <v>0.5425030598340872</v>
      </c>
      <c r="Y427">
        <v>0.65359942726520859</v>
      </c>
      <c r="Z427">
        <v>0.60752809082379389</v>
      </c>
      <c r="AA427">
        <v>0.53009717297638526</v>
      </c>
    </row>
    <row r="428" spans="1:27" x14ac:dyDescent="0.4">
      <c r="A428" s="1">
        <v>45951</v>
      </c>
      <c r="B428">
        <v>279</v>
      </c>
      <c r="C428">
        <v>225.25</v>
      </c>
      <c r="D428">
        <v>194</v>
      </c>
      <c r="E428">
        <v>173</v>
      </c>
      <c r="F428">
        <v>139.9</v>
      </c>
      <c r="G428">
        <v>158.72999999999999</v>
      </c>
      <c r="H428">
        <v>111.4</v>
      </c>
      <c r="I428">
        <v>109</v>
      </c>
      <c r="J428">
        <v>110.4</v>
      </c>
      <c r="K428">
        <v>125</v>
      </c>
      <c r="L428">
        <v>103.012</v>
      </c>
      <c r="Q428">
        <v>0.1795034619546671</v>
      </c>
      <c r="R428">
        <v>0.31436638498224079</v>
      </c>
      <c r="S428">
        <v>0.1779941069052588</v>
      </c>
      <c r="T428">
        <v>0.2059603510209283</v>
      </c>
      <c r="U428">
        <v>0.179340894298678</v>
      </c>
      <c r="V428">
        <v>0.61796625703011587</v>
      </c>
      <c r="W428">
        <v>0.18339365464642601</v>
      </c>
      <c r="X428">
        <v>0.5018031250954893</v>
      </c>
      <c r="Y428">
        <v>0.65350439834870611</v>
      </c>
      <c r="Z428">
        <v>0.59627873987990332</v>
      </c>
      <c r="AA428">
        <v>0.50123688757331086</v>
      </c>
    </row>
    <row r="429" spans="1:27" x14ac:dyDescent="0.4">
      <c r="A429" s="1">
        <v>45952</v>
      </c>
      <c r="B429">
        <v>281.95</v>
      </c>
      <c r="C429">
        <v>225.55</v>
      </c>
      <c r="D429">
        <v>194</v>
      </c>
      <c r="E429">
        <v>174.8</v>
      </c>
      <c r="F429">
        <v>140.44999999999999</v>
      </c>
      <c r="G429">
        <v>158.80000000000001</v>
      </c>
      <c r="H429">
        <v>111.6</v>
      </c>
      <c r="I429">
        <v>110.1</v>
      </c>
      <c r="J429">
        <v>111.2</v>
      </c>
      <c r="K429">
        <v>125.45</v>
      </c>
      <c r="L429">
        <v>104.75</v>
      </c>
      <c r="Q429">
        <v>0.1876570461617782</v>
      </c>
      <c r="R429">
        <v>0.31485484663289948</v>
      </c>
      <c r="S429">
        <v>0.17909015400060191</v>
      </c>
      <c r="T429">
        <v>0.19202618139109859</v>
      </c>
      <c r="U429">
        <v>0.17704799807130139</v>
      </c>
      <c r="V429">
        <v>0.62765635915957985</v>
      </c>
      <c r="W429">
        <v>0.1815714249111916</v>
      </c>
      <c r="X429">
        <v>0.48273000834520557</v>
      </c>
      <c r="Y429">
        <v>0.64704728513551368</v>
      </c>
      <c r="Z429">
        <v>0.59022568584601376</v>
      </c>
      <c r="AA429">
        <v>0.46322284309109019</v>
      </c>
    </row>
    <row r="430" spans="1:27" x14ac:dyDescent="0.4">
      <c r="A430" s="1">
        <v>45953</v>
      </c>
      <c r="B430">
        <v>283.39999999999998</v>
      </c>
      <c r="C430">
        <v>226.15</v>
      </c>
      <c r="D430">
        <v>193.90700000000001</v>
      </c>
      <c r="E430">
        <v>175</v>
      </c>
      <c r="F430">
        <v>141.25</v>
      </c>
      <c r="G430">
        <v>159.12</v>
      </c>
      <c r="H430">
        <v>111.25</v>
      </c>
      <c r="I430">
        <v>110.35</v>
      </c>
      <c r="J430">
        <v>114.2</v>
      </c>
      <c r="K430">
        <v>128</v>
      </c>
      <c r="L430">
        <v>105.9</v>
      </c>
      <c r="Q430">
        <v>0.18079433818445151</v>
      </c>
      <c r="R430">
        <v>0.3035715870738448</v>
      </c>
      <c r="S430">
        <v>0.1801925510644295</v>
      </c>
      <c r="T430">
        <v>0.1919502877004888</v>
      </c>
      <c r="U430">
        <v>0.1733344003199811</v>
      </c>
      <c r="V430">
        <v>0.62037680281907392</v>
      </c>
      <c r="W430">
        <v>0.1864205101874839</v>
      </c>
      <c r="X430">
        <v>0.4802255586487818</v>
      </c>
      <c r="Y430">
        <v>0.61163758962262449</v>
      </c>
      <c r="Z430">
        <v>0.5170836338348398</v>
      </c>
      <c r="AA430">
        <v>0.43958750948796183</v>
      </c>
    </row>
    <row r="431" spans="1:27" x14ac:dyDescent="0.4">
      <c r="A431" s="1">
        <v>45954</v>
      </c>
      <c r="B431">
        <v>282</v>
      </c>
      <c r="C431">
        <v>226.69</v>
      </c>
      <c r="D431">
        <v>194.9</v>
      </c>
      <c r="E431">
        <v>173.5</v>
      </c>
      <c r="F431">
        <v>141.75</v>
      </c>
      <c r="G431">
        <v>160</v>
      </c>
      <c r="H431">
        <v>111.65</v>
      </c>
      <c r="I431">
        <v>110.5</v>
      </c>
      <c r="J431">
        <v>115.35</v>
      </c>
      <c r="K431">
        <v>126.75</v>
      </c>
      <c r="L431">
        <v>105.5</v>
      </c>
      <c r="Q431">
        <v>0.1911529984387684</v>
      </c>
      <c r="R431">
        <v>0.29438841456098491</v>
      </c>
      <c r="S431">
        <v>0.1765903880084112</v>
      </c>
      <c r="T431">
        <v>0.21865243942287149</v>
      </c>
      <c r="U431">
        <v>0.1713475194559082</v>
      </c>
      <c r="V431">
        <v>0.57421792717253095</v>
      </c>
      <c r="W431">
        <v>0.18356100194125419</v>
      </c>
      <c r="X431">
        <v>0.47965007508163188</v>
      </c>
      <c r="Y431">
        <v>0.60143034435353204</v>
      </c>
      <c r="Z431">
        <v>0.562727385954916</v>
      </c>
      <c r="AA431">
        <v>0.4510882387839808</v>
      </c>
    </row>
    <row r="432" spans="1:27" x14ac:dyDescent="0.4">
      <c r="A432" s="1">
        <v>45957</v>
      </c>
      <c r="B432">
        <v>294</v>
      </c>
      <c r="C432">
        <v>231</v>
      </c>
      <c r="D432">
        <v>211</v>
      </c>
      <c r="E432">
        <v>179.6</v>
      </c>
      <c r="F432">
        <v>151</v>
      </c>
      <c r="G432">
        <v>163.05000000000001</v>
      </c>
      <c r="H432">
        <v>117.5</v>
      </c>
      <c r="I432">
        <v>118</v>
      </c>
      <c r="J432">
        <v>125.8</v>
      </c>
      <c r="K432">
        <v>130.25</v>
      </c>
      <c r="L432">
        <v>110.20099999999999</v>
      </c>
      <c r="Q432">
        <v>0.1261726421502892</v>
      </c>
      <c r="R432">
        <v>0.16100997385989221</v>
      </c>
      <c r="S432">
        <v>0.1012182669845294</v>
      </c>
      <c r="T432">
        <v>0.13392910368511701</v>
      </c>
      <c r="U432">
        <v>0.12367672661734951</v>
      </c>
      <c r="V432">
        <v>0.40889660605358319</v>
      </c>
      <c r="W432">
        <v>0.12950967552077439</v>
      </c>
      <c r="X432">
        <v>0.35051042603053201</v>
      </c>
      <c r="Y432">
        <v>0.49203223173437599</v>
      </c>
      <c r="Z432">
        <v>0.47427174855431792</v>
      </c>
      <c r="AA432">
        <v>0.35553433912988591</v>
      </c>
    </row>
    <row r="433" spans="1:29" x14ac:dyDescent="0.4">
      <c r="A433" s="1">
        <v>45958</v>
      </c>
      <c r="B433">
        <v>295.39999999999998</v>
      </c>
      <c r="C433">
        <v>231</v>
      </c>
      <c r="D433">
        <v>209.4</v>
      </c>
      <c r="E433">
        <v>180.25</v>
      </c>
      <c r="F433">
        <v>153.05000000000001</v>
      </c>
      <c r="G433">
        <v>162.9</v>
      </c>
      <c r="H433">
        <v>119.624</v>
      </c>
      <c r="I433">
        <v>118.4</v>
      </c>
      <c r="J433">
        <v>126.6</v>
      </c>
      <c r="K433">
        <v>130.5</v>
      </c>
      <c r="L433">
        <v>110.9</v>
      </c>
      <c r="Q433">
        <v>0.1199132389951177</v>
      </c>
      <c r="R433">
        <v>0.17011941062211811</v>
      </c>
      <c r="S433">
        <v>0.1094145168841676</v>
      </c>
      <c r="T433">
        <v>0.1269629326463064</v>
      </c>
      <c r="U433">
        <v>0.1139500571224034</v>
      </c>
      <c r="V433">
        <v>0.42882375694461938</v>
      </c>
      <c r="W433">
        <v>0.11201618634104631</v>
      </c>
      <c r="X433">
        <v>0.33550447416537421</v>
      </c>
      <c r="Y433">
        <v>0.48749536744195737</v>
      </c>
      <c r="Z433">
        <v>0.47505338583534479</v>
      </c>
      <c r="AA433">
        <v>0.34304206789762459</v>
      </c>
    </row>
    <row r="434" spans="1:29" x14ac:dyDescent="0.4">
      <c r="A434" s="1">
        <v>45959</v>
      </c>
      <c r="B434">
        <v>296.5</v>
      </c>
      <c r="C434">
        <v>231.9</v>
      </c>
      <c r="D434">
        <v>211</v>
      </c>
      <c r="E434">
        <v>180.7</v>
      </c>
      <c r="F434">
        <v>154.75</v>
      </c>
      <c r="G434">
        <v>164.5</v>
      </c>
      <c r="H434">
        <v>120.65</v>
      </c>
      <c r="I434">
        <v>118.5</v>
      </c>
      <c r="J434">
        <v>127.6</v>
      </c>
      <c r="K434">
        <v>132</v>
      </c>
      <c r="L434">
        <v>110.65</v>
      </c>
      <c r="Q434">
        <v>0.1153377015061685</v>
      </c>
      <c r="R434">
        <v>0.14507479092480591</v>
      </c>
      <c r="S434">
        <v>0.1029424601071261</v>
      </c>
      <c r="T434">
        <v>0.1229027092584886</v>
      </c>
      <c r="U434">
        <v>0.1068894068403258</v>
      </c>
      <c r="V434">
        <v>0.33586503125762052</v>
      </c>
      <c r="W434">
        <v>0.10258960043201119</v>
      </c>
      <c r="X434">
        <v>0.34542111124092739</v>
      </c>
      <c r="Y434">
        <v>0.47950796736467199</v>
      </c>
      <c r="Z434">
        <v>0.4371238852918628</v>
      </c>
      <c r="AA434">
        <v>0.35007588701117132</v>
      </c>
    </row>
    <row r="435" spans="1:29" x14ac:dyDescent="0.4">
      <c r="A435" s="1">
        <v>45960</v>
      </c>
      <c r="B435">
        <v>301</v>
      </c>
      <c r="C435">
        <v>233.2</v>
      </c>
      <c r="D435">
        <v>213.3</v>
      </c>
      <c r="E435">
        <v>183</v>
      </c>
      <c r="F435">
        <v>156.69999999999999</v>
      </c>
      <c r="G435">
        <v>164.65</v>
      </c>
      <c r="H435">
        <v>121.7</v>
      </c>
      <c r="I435">
        <v>120.45</v>
      </c>
      <c r="J435">
        <v>128.4</v>
      </c>
      <c r="K435">
        <v>132</v>
      </c>
      <c r="L435">
        <v>112</v>
      </c>
      <c r="Q435">
        <v>9.2298417282241405E-2</v>
      </c>
      <c r="R435">
        <v>0.1050744554468374</v>
      </c>
      <c r="S435">
        <v>9.3420716462520995E-2</v>
      </c>
      <c r="T435">
        <v>9.2328814020884095E-2</v>
      </c>
      <c r="U435">
        <v>9.7266646220946495E-2</v>
      </c>
      <c r="V435">
        <v>0.33474631058902621</v>
      </c>
      <c r="W435">
        <v>9.4222373396239706E-2</v>
      </c>
      <c r="X435">
        <v>0.3148829849641489</v>
      </c>
      <c r="Y435">
        <v>0.47397312073974629</v>
      </c>
      <c r="Z435">
        <v>0.44294728675916178</v>
      </c>
      <c r="AA435">
        <v>0.32431200549930361</v>
      </c>
    </row>
    <row r="436" spans="1:29" x14ac:dyDescent="0.4">
      <c r="A436" s="1">
        <v>45961</v>
      </c>
      <c r="B436">
        <v>302.25</v>
      </c>
      <c r="C436">
        <v>234</v>
      </c>
      <c r="D436">
        <v>215.5</v>
      </c>
      <c r="E436">
        <v>184.25</v>
      </c>
      <c r="F436">
        <v>157.85</v>
      </c>
      <c r="G436">
        <v>165.1</v>
      </c>
      <c r="H436">
        <v>122.75</v>
      </c>
      <c r="I436">
        <v>120.1</v>
      </c>
      <c r="J436">
        <v>128</v>
      </c>
      <c r="K436">
        <v>132.6</v>
      </c>
      <c r="L436">
        <v>112.3</v>
      </c>
      <c r="Q436">
        <v>8.7064742971524098E-2</v>
      </c>
      <c r="R436">
        <v>8.33937207604388E-2</v>
      </c>
      <c r="S436">
        <v>8.4487550123767102E-2</v>
      </c>
      <c r="T436">
        <v>7.7092679112714099E-2</v>
      </c>
      <c r="U436">
        <v>9.23904277505843E-2</v>
      </c>
      <c r="V436">
        <v>0.31432467625679128</v>
      </c>
      <c r="W436">
        <v>8.5952993604270403E-2</v>
      </c>
      <c r="X436">
        <v>0.32208203231794569</v>
      </c>
      <c r="Y436">
        <v>0.48003172533536398</v>
      </c>
      <c r="Z436">
        <v>0.4306578853437934</v>
      </c>
      <c r="AA436">
        <v>0.32001747038627931</v>
      </c>
    </row>
    <row r="437" spans="1:29" x14ac:dyDescent="0.4">
      <c r="A437" s="1">
        <v>45964</v>
      </c>
      <c r="B437">
        <v>302.5</v>
      </c>
      <c r="C437">
        <v>235.42</v>
      </c>
      <c r="D437">
        <v>215.8</v>
      </c>
      <c r="E437">
        <v>184.35</v>
      </c>
      <c r="F437">
        <v>157.75</v>
      </c>
      <c r="G437">
        <v>164.1</v>
      </c>
      <c r="H437">
        <v>122.95</v>
      </c>
      <c r="I437">
        <v>118.95</v>
      </c>
      <c r="J437">
        <v>128.1</v>
      </c>
      <c r="K437">
        <v>133.4</v>
      </c>
      <c r="L437">
        <v>111.65</v>
      </c>
      <c r="M437">
        <v>102.95</v>
      </c>
      <c r="N437">
        <v>100.9</v>
      </c>
      <c r="Q437">
        <v>9.0147500631970204E-2</v>
      </c>
      <c r="R437">
        <v>9.4444764704181394E-2</v>
      </c>
      <c r="S437">
        <v>8.5731350325041394E-2</v>
      </c>
      <c r="T437">
        <v>8.2575545980866999E-2</v>
      </c>
      <c r="U437">
        <v>9.4985541665819795E-2</v>
      </c>
      <c r="V437">
        <v>0.41187767422656552</v>
      </c>
      <c r="W437">
        <v>8.7112674131684206E-2</v>
      </c>
      <c r="X437">
        <v>0.34609137591831629</v>
      </c>
      <c r="Y437">
        <v>0.4837625008212591</v>
      </c>
      <c r="Z437">
        <v>0.41980273521182337</v>
      </c>
      <c r="AA437">
        <v>0.33878737645838342</v>
      </c>
      <c r="AB437">
        <v>0.32917428780709668</v>
      </c>
      <c r="AC437">
        <v>0.3441202568636072</v>
      </c>
    </row>
    <row r="438" spans="1:29" x14ac:dyDescent="0.4">
      <c r="A438" s="1">
        <v>45965</v>
      </c>
      <c r="B438">
        <v>303</v>
      </c>
      <c r="C438">
        <v>234.8</v>
      </c>
      <c r="D438">
        <v>215.85</v>
      </c>
      <c r="E438">
        <v>184.15</v>
      </c>
      <c r="F438">
        <v>158.25</v>
      </c>
      <c r="G438">
        <v>165.56</v>
      </c>
      <c r="H438">
        <v>122.65</v>
      </c>
      <c r="I438">
        <v>119.15</v>
      </c>
      <c r="J438">
        <v>128.30000000000001</v>
      </c>
      <c r="K438">
        <v>133.30000000000001</v>
      </c>
      <c r="L438">
        <v>111.999</v>
      </c>
      <c r="M438">
        <v>102.35</v>
      </c>
      <c r="N438">
        <v>101.4</v>
      </c>
      <c r="Q438">
        <v>8.8925721447895095E-2</v>
      </c>
      <c r="R438">
        <v>8.49031639675739E-2</v>
      </c>
      <c r="S438">
        <v>8.6373894091268597E-2</v>
      </c>
      <c r="T438">
        <v>8.7827809999039205E-2</v>
      </c>
      <c r="U438">
        <v>9.3260694312918904E-2</v>
      </c>
      <c r="V438">
        <v>0.31726622159099771</v>
      </c>
      <c r="W438">
        <v>9.0755622237727707E-2</v>
      </c>
      <c r="X438">
        <v>0.34435285783696012</v>
      </c>
      <c r="Y438">
        <v>0.4830432773301605</v>
      </c>
      <c r="Z438">
        <v>0.4262985045901469</v>
      </c>
      <c r="AA438">
        <v>0.33566338537018647</v>
      </c>
      <c r="AB438">
        <v>0.33808640226602321</v>
      </c>
      <c r="AC438">
        <v>0.33859164536487818</v>
      </c>
    </row>
    <row r="439" spans="1:29" x14ac:dyDescent="0.4">
      <c r="A439" s="1">
        <v>45966</v>
      </c>
      <c r="B439">
        <v>303.75</v>
      </c>
      <c r="C439">
        <v>235.8</v>
      </c>
      <c r="D439">
        <v>216</v>
      </c>
      <c r="E439">
        <v>184.7</v>
      </c>
      <c r="F439">
        <v>151.21600000000001</v>
      </c>
      <c r="G439">
        <v>166.25</v>
      </c>
      <c r="H439">
        <v>122.85</v>
      </c>
      <c r="I439">
        <v>120.25</v>
      </c>
      <c r="J439">
        <v>126.18</v>
      </c>
      <c r="K439">
        <v>133.9</v>
      </c>
      <c r="L439">
        <v>112.9</v>
      </c>
      <c r="M439">
        <v>103.402</v>
      </c>
      <c r="N439">
        <v>102.898</v>
      </c>
      <c r="Q439">
        <v>8.6340000164342803E-2</v>
      </c>
      <c r="R439">
        <v>5.2652114607416901E-2</v>
      </c>
      <c r="S439">
        <v>8.6572717946933705E-2</v>
      </c>
      <c r="T439">
        <v>9.09863321465436E-2</v>
      </c>
      <c r="U439">
        <v>0.1295766292069459</v>
      </c>
      <c r="V439">
        <v>0.27764225932850273</v>
      </c>
      <c r="W439">
        <v>8.9971012099806194E-2</v>
      </c>
      <c r="X439">
        <v>0.32737363771778571</v>
      </c>
      <c r="Y439">
        <v>0.50663671013295608</v>
      </c>
      <c r="Z439">
        <v>0.41262748526564369</v>
      </c>
      <c r="AA439">
        <v>0.31660867140185622</v>
      </c>
      <c r="AB439">
        <v>0.32670006014335318</v>
      </c>
      <c r="AC439">
        <v>0.31882420506659209</v>
      </c>
    </row>
    <row r="440" spans="1:29" x14ac:dyDescent="0.4">
      <c r="A440" s="1">
        <v>45967</v>
      </c>
      <c r="B440">
        <v>304.25</v>
      </c>
      <c r="C440">
        <v>235.8</v>
      </c>
      <c r="D440">
        <v>217.5</v>
      </c>
      <c r="E440">
        <v>184.65</v>
      </c>
      <c r="F440">
        <v>159.9</v>
      </c>
      <c r="G440">
        <v>166.25</v>
      </c>
      <c r="H440">
        <v>123</v>
      </c>
      <c r="I440">
        <v>120.4</v>
      </c>
      <c r="J440">
        <v>129.4</v>
      </c>
      <c r="K440">
        <v>133.80000000000001</v>
      </c>
      <c r="L440">
        <v>113.395</v>
      </c>
      <c r="M440">
        <v>102.8</v>
      </c>
      <c r="N440">
        <v>103.101</v>
      </c>
      <c r="Q440">
        <v>8.5107387241980303E-2</v>
      </c>
      <c r="R440">
        <v>6.0581447725880699E-2</v>
      </c>
      <c r="S440">
        <v>8.0760179327102499E-2</v>
      </c>
      <c r="T440">
        <v>8.5391892153505899E-2</v>
      </c>
      <c r="U440">
        <v>8.6692912865858396E-2</v>
      </c>
      <c r="V440">
        <v>0.27503560985613612</v>
      </c>
      <c r="W440">
        <v>8.9630741907335901E-2</v>
      </c>
      <c r="X440">
        <v>0.3264426524714098</v>
      </c>
      <c r="Y440">
        <v>0.47420322560359551</v>
      </c>
      <c r="Z440">
        <v>0.41846421302358638</v>
      </c>
      <c r="AA440">
        <v>0.3082459730065244</v>
      </c>
      <c r="AB440">
        <v>0.33257191306472689</v>
      </c>
      <c r="AC440">
        <v>0.31853103385663389</v>
      </c>
    </row>
    <row r="441" spans="1:29" x14ac:dyDescent="0.4">
      <c r="A441" s="1">
        <v>45968</v>
      </c>
      <c r="B441">
        <v>303.95</v>
      </c>
      <c r="C441">
        <v>236.45</v>
      </c>
      <c r="D441">
        <v>216.5</v>
      </c>
      <c r="E441">
        <v>184.96</v>
      </c>
      <c r="F441">
        <v>159</v>
      </c>
      <c r="G441">
        <v>167.09</v>
      </c>
      <c r="H441">
        <v>123.1</v>
      </c>
      <c r="I441">
        <v>120.95</v>
      </c>
      <c r="J441">
        <v>129.19999999999999</v>
      </c>
      <c r="K441">
        <v>134.5</v>
      </c>
      <c r="L441">
        <v>112.899</v>
      </c>
      <c r="M441">
        <v>102.6</v>
      </c>
      <c r="N441">
        <v>103.25</v>
      </c>
      <c r="Q441">
        <v>8.8243455031584095E-2</v>
      </c>
      <c r="R441">
        <v>4.1474959803500099E-2</v>
      </c>
      <c r="S441">
        <v>8.6077853106261898E-2</v>
      </c>
      <c r="T441">
        <v>8.2693706121224994E-2</v>
      </c>
      <c r="U441">
        <v>9.1735597367098104E-2</v>
      </c>
      <c r="V441">
        <v>0.2338822254537779</v>
      </c>
      <c r="W441">
        <v>8.9736484722124699E-2</v>
      </c>
      <c r="X441">
        <v>0.31879808087354561</v>
      </c>
      <c r="Y441">
        <v>0.4776640221719522</v>
      </c>
      <c r="Z441">
        <v>0.40175163748749387</v>
      </c>
      <c r="AA441">
        <v>0.32020218230003422</v>
      </c>
      <c r="AB441">
        <v>0.33501724074344641</v>
      </c>
      <c r="AC441">
        <v>0.31763247617384571</v>
      </c>
    </row>
    <row r="442" spans="1:29" x14ac:dyDescent="0.4">
      <c r="A442" s="1">
        <v>45971</v>
      </c>
      <c r="B442">
        <v>306.35000000000002</v>
      </c>
      <c r="C442">
        <v>237.2</v>
      </c>
      <c r="D442">
        <v>219</v>
      </c>
      <c r="E442">
        <v>185.65</v>
      </c>
      <c r="F442">
        <v>160.80000000000001</v>
      </c>
      <c r="G442">
        <v>166.91</v>
      </c>
      <c r="H442">
        <v>124.5</v>
      </c>
      <c r="I442">
        <v>121.1</v>
      </c>
      <c r="J442">
        <v>131</v>
      </c>
      <c r="K442">
        <v>134.69999999999999</v>
      </c>
      <c r="L442">
        <v>113.1</v>
      </c>
      <c r="M442">
        <v>103.65</v>
      </c>
      <c r="N442">
        <v>103.8</v>
      </c>
      <c r="Q442">
        <v>7.9583008702409599E-2</v>
      </c>
      <c r="R442">
        <v>3.2759060732767298E-2</v>
      </c>
      <c r="S442">
        <v>7.7527658312515901E-2</v>
      </c>
      <c r="T442">
        <v>8.0390537438217904E-2</v>
      </c>
      <c r="U442">
        <v>8.5142085982563606E-2</v>
      </c>
      <c r="V442">
        <v>0.27031647624045502</v>
      </c>
      <c r="W442">
        <v>8.0267941327694006E-2</v>
      </c>
      <c r="X442">
        <v>0.32098257550098941</v>
      </c>
      <c r="Y442">
        <v>0.4636580083032743</v>
      </c>
      <c r="Z442">
        <v>0.40708227954086351</v>
      </c>
      <c r="AA442">
        <v>0.32147677707803418</v>
      </c>
      <c r="AB442">
        <v>0.32806479003144068</v>
      </c>
      <c r="AC442">
        <v>0.31359986914721982</v>
      </c>
    </row>
    <row r="443" spans="1:29" x14ac:dyDescent="0.4">
      <c r="A443" s="1">
        <v>45972</v>
      </c>
      <c r="B443">
        <v>308.14999999999998</v>
      </c>
      <c r="C443">
        <v>237.46</v>
      </c>
      <c r="D443">
        <v>219.95</v>
      </c>
      <c r="E443">
        <v>186.5</v>
      </c>
      <c r="F443">
        <v>161.5</v>
      </c>
      <c r="G443">
        <v>167.2</v>
      </c>
      <c r="H443">
        <v>125.3</v>
      </c>
      <c r="I443">
        <v>121.1</v>
      </c>
      <c r="J443">
        <v>132</v>
      </c>
      <c r="K443">
        <v>135.35</v>
      </c>
      <c r="L443">
        <v>113.5</v>
      </c>
      <c r="M443">
        <v>104.25</v>
      </c>
      <c r="N443">
        <v>103.501</v>
      </c>
      <c r="Q443">
        <v>7.1244510566005906E-2</v>
      </c>
      <c r="R443">
        <v>2.9095698385121299E-2</v>
      </c>
      <c r="S443">
        <v>7.4178060682256006E-2</v>
      </c>
      <c r="T443">
        <v>7.0207205638576006E-2</v>
      </c>
      <c r="U443">
        <v>8.2479312117005807E-2</v>
      </c>
      <c r="V443">
        <v>0.25598810000417499</v>
      </c>
      <c r="W443">
        <v>7.4203371917418603E-2</v>
      </c>
      <c r="X443">
        <v>0.32257543822948181</v>
      </c>
      <c r="Y443">
        <v>0.4550383075485937</v>
      </c>
      <c r="Z443">
        <v>0.39150552867989308</v>
      </c>
      <c r="AA443">
        <v>0.31490429608334047</v>
      </c>
      <c r="AB443">
        <v>0.32361837996797449</v>
      </c>
      <c r="AC443">
        <v>0.31848847179319961</v>
      </c>
    </row>
    <row r="444" spans="1:29" x14ac:dyDescent="0.4">
      <c r="A444" s="1">
        <v>45973</v>
      </c>
      <c r="B444">
        <v>303.25</v>
      </c>
      <c r="C444">
        <v>238.05</v>
      </c>
      <c r="D444">
        <v>220.7</v>
      </c>
      <c r="E444">
        <v>187.15</v>
      </c>
      <c r="F444">
        <v>162.4</v>
      </c>
      <c r="G444">
        <v>167.3</v>
      </c>
      <c r="H444">
        <v>125.95</v>
      </c>
      <c r="I444">
        <v>121.2</v>
      </c>
      <c r="J444">
        <v>131.69999999999999</v>
      </c>
      <c r="K444">
        <v>134.9</v>
      </c>
      <c r="L444">
        <v>113.6</v>
      </c>
      <c r="M444">
        <v>104.15</v>
      </c>
      <c r="N444">
        <v>103.249</v>
      </c>
      <c r="Q444">
        <v>9.9943342095579493E-2</v>
      </c>
      <c r="R444">
        <v>9.8396006471574999E-3</v>
      </c>
      <c r="S444">
        <v>7.1717920260363402E-2</v>
      </c>
      <c r="T444">
        <v>6.2968886194259693E-2</v>
      </c>
      <c r="U444">
        <v>7.8876996638236899E-2</v>
      </c>
      <c r="V444">
        <v>0.2564706424550029</v>
      </c>
      <c r="W444">
        <v>6.9484312909511306E-2</v>
      </c>
      <c r="X444">
        <v>0.32247440087833928</v>
      </c>
      <c r="Y444">
        <v>0.45858530647643703</v>
      </c>
      <c r="Z444">
        <v>0.40723413193039359</v>
      </c>
      <c r="AA444">
        <v>0.31461692734842062</v>
      </c>
      <c r="AB444">
        <v>0.32517059655198072</v>
      </c>
      <c r="AC444">
        <v>0.322818365357743</v>
      </c>
    </row>
    <row r="445" spans="1:29" x14ac:dyDescent="0.4">
      <c r="A445" s="1">
        <v>45974</v>
      </c>
      <c r="B445">
        <v>309.7</v>
      </c>
      <c r="C445">
        <v>238.05</v>
      </c>
      <c r="D445">
        <v>220.9</v>
      </c>
      <c r="E445">
        <v>187.6</v>
      </c>
      <c r="F445">
        <v>161.077</v>
      </c>
      <c r="G445">
        <v>167.3</v>
      </c>
      <c r="H445">
        <v>125.85</v>
      </c>
      <c r="I445">
        <v>121.15</v>
      </c>
      <c r="J445">
        <v>131.5</v>
      </c>
      <c r="K445">
        <v>135.4</v>
      </c>
      <c r="L445">
        <v>113.5</v>
      </c>
      <c r="M445">
        <v>103.95</v>
      </c>
      <c r="N445">
        <v>102.85</v>
      </c>
      <c r="Q445">
        <v>6.5711127570884598E-2</v>
      </c>
      <c r="R445">
        <v>1.7796075277070899E-2</v>
      </c>
      <c r="S445">
        <v>7.1676139502880001E-2</v>
      </c>
      <c r="T445">
        <v>5.8647527197360397E-2</v>
      </c>
      <c r="U445">
        <v>8.5896426993684202E-2</v>
      </c>
      <c r="V445">
        <v>0.26546709359630438</v>
      </c>
      <c r="W445">
        <v>7.1297159831817794E-2</v>
      </c>
      <c r="X445">
        <v>0.32494870041348689</v>
      </c>
      <c r="Y445">
        <v>0.46198618746036091</v>
      </c>
      <c r="Z445">
        <v>0.3959504763725506</v>
      </c>
      <c r="AA445">
        <v>0.31856393073797717</v>
      </c>
      <c r="AB445">
        <v>0.32759321234043248</v>
      </c>
      <c r="AC445">
        <v>0.3291409702969651</v>
      </c>
    </row>
    <row r="446" spans="1:29" x14ac:dyDescent="0.4">
      <c r="A446" s="1">
        <v>45975</v>
      </c>
      <c r="B446">
        <v>309.39999999999998</v>
      </c>
      <c r="C446">
        <v>238.46</v>
      </c>
      <c r="D446">
        <v>221.4</v>
      </c>
      <c r="E446">
        <v>187.6</v>
      </c>
      <c r="F446">
        <v>162</v>
      </c>
      <c r="G446">
        <v>167.75</v>
      </c>
      <c r="H446">
        <v>125.9</v>
      </c>
      <c r="I446">
        <v>121.65</v>
      </c>
      <c r="J446">
        <v>131.75</v>
      </c>
      <c r="K446">
        <v>135.94999999999999</v>
      </c>
      <c r="L446">
        <v>114.1</v>
      </c>
      <c r="M446">
        <v>104.3</v>
      </c>
      <c r="N446">
        <v>103.29900000000001</v>
      </c>
      <c r="Q446">
        <v>6.8771899237688602E-2</v>
      </c>
      <c r="R446">
        <v>6.0282319534187001E-3</v>
      </c>
      <c r="S446">
        <v>7.0314808369236204E-2</v>
      </c>
      <c r="T446">
        <v>6.0955451278468797E-2</v>
      </c>
      <c r="U446">
        <v>8.2153696903234694E-2</v>
      </c>
      <c r="V446">
        <v>0.2359525534968272</v>
      </c>
      <c r="W446">
        <v>7.1809127461988698E-2</v>
      </c>
      <c r="X446">
        <v>0.31798591590447428</v>
      </c>
      <c r="Y446">
        <v>0.45989709344205532</v>
      </c>
      <c r="Z446">
        <v>0.38133888140121391</v>
      </c>
      <c r="AA446">
        <v>0.30770031686396238</v>
      </c>
      <c r="AB446">
        <v>0.32528262418142351</v>
      </c>
      <c r="AC446">
        <v>0.32427515736257628</v>
      </c>
    </row>
    <row r="447" spans="1:29" x14ac:dyDescent="0.4">
      <c r="A447" s="1">
        <v>45978</v>
      </c>
      <c r="B447">
        <v>310.35000000000002</v>
      </c>
      <c r="C447">
        <v>238.57</v>
      </c>
      <c r="D447">
        <v>221.2</v>
      </c>
      <c r="E447">
        <v>188.25</v>
      </c>
      <c r="F447">
        <v>162.6</v>
      </c>
      <c r="G447">
        <v>167.71</v>
      </c>
      <c r="H447">
        <v>126</v>
      </c>
      <c r="I447">
        <v>121.8</v>
      </c>
      <c r="J447">
        <v>131.75</v>
      </c>
      <c r="K447">
        <v>136.55000000000001</v>
      </c>
      <c r="L447">
        <v>114.5</v>
      </c>
      <c r="M447">
        <v>104.2</v>
      </c>
      <c r="N447">
        <v>103.4</v>
      </c>
      <c r="Q447">
        <v>6.7916703867336198E-2</v>
      </c>
      <c r="R447">
        <v>2.6939273524731001E-2</v>
      </c>
      <c r="S447">
        <v>7.3733389876351599E-2</v>
      </c>
      <c r="T447">
        <v>5.8238158431786501E-2</v>
      </c>
      <c r="U447">
        <v>8.1351641016704501E-2</v>
      </c>
      <c r="V447">
        <v>0.26820875717735748</v>
      </c>
      <c r="W447">
        <v>7.3807109118865594E-2</v>
      </c>
      <c r="X447">
        <v>0.32024125528920028</v>
      </c>
      <c r="Y447">
        <v>0.46361043208981012</v>
      </c>
      <c r="Z447">
        <v>0.3732545726995064</v>
      </c>
      <c r="AA447">
        <v>0.30462080132745029</v>
      </c>
      <c r="AB447">
        <v>0.3282677441438222</v>
      </c>
      <c r="AC447">
        <v>0.3261494725105073</v>
      </c>
    </row>
    <row r="448" spans="1:29" x14ac:dyDescent="0.4">
      <c r="A448" s="1">
        <v>45979</v>
      </c>
      <c r="B448">
        <v>311.10000000000002</v>
      </c>
      <c r="C448">
        <v>238.7</v>
      </c>
      <c r="D448">
        <v>221.75</v>
      </c>
      <c r="E448">
        <v>188.75</v>
      </c>
      <c r="F448">
        <v>162.273</v>
      </c>
      <c r="G448">
        <v>167.87</v>
      </c>
      <c r="H448">
        <v>126</v>
      </c>
      <c r="I448">
        <v>121.75</v>
      </c>
      <c r="J448">
        <v>132</v>
      </c>
      <c r="K448">
        <v>136.69999999999999</v>
      </c>
      <c r="L448">
        <v>114.526</v>
      </c>
      <c r="M448">
        <v>103.95</v>
      </c>
      <c r="N448">
        <v>103.4</v>
      </c>
      <c r="Q448">
        <v>6.5241165713583099E-2</v>
      </c>
      <c r="R448">
        <v>2.9673199074381099E-2</v>
      </c>
      <c r="S448">
        <v>7.2141643234469505E-2</v>
      </c>
      <c r="T448">
        <v>5.3023625437619903E-2</v>
      </c>
      <c r="U448">
        <v>8.9563861687834895E-2</v>
      </c>
      <c r="V448">
        <v>0.2632545585687518</v>
      </c>
      <c r="W448">
        <v>7.4777471597252093E-2</v>
      </c>
      <c r="X448">
        <v>0.3245002149643243</v>
      </c>
      <c r="Y448">
        <v>0.46190292556756257</v>
      </c>
      <c r="Z448">
        <v>0.3712543261179711</v>
      </c>
      <c r="AA448">
        <v>0.30587285231490458</v>
      </c>
      <c r="AB448">
        <v>0.33116046817208972</v>
      </c>
      <c r="AC448">
        <v>0.32723183580351101</v>
      </c>
    </row>
    <row r="449" spans="1:30" x14ac:dyDescent="0.4">
      <c r="A449" s="1">
        <v>45980</v>
      </c>
      <c r="B449">
        <v>311.8</v>
      </c>
      <c r="C449">
        <v>238.85</v>
      </c>
      <c r="D449">
        <v>221.9</v>
      </c>
      <c r="E449">
        <v>188.55</v>
      </c>
      <c r="F449">
        <v>162.44999999999999</v>
      </c>
      <c r="G449">
        <v>168</v>
      </c>
      <c r="H449">
        <v>126.45</v>
      </c>
      <c r="I449">
        <v>121.95</v>
      </c>
      <c r="J449">
        <v>132.88800000000001</v>
      </c>
      <c r="K449">
        <v>136.55000000000001</v>
      </c>
      <c r="L449">
        <v>114.05</v>
      </c>
      <c r="M449">
        <v>103.66800000000001</v>
      </c>
      <c r="N449">
        <v>103.25</v>
      </c>
      <c r="Q449">
        <v>6.28337663670228E-2</v>
      </c>
      <c r="R449">
        <v>3.1435610012618902E-2</v>
      </c>
      <c r="S449">
        <v>7.2327021916676698E-2</v>
      </c>
      <c r="T449">
        <v>5.84198060760487E-2</v>
      </c>
      <c r="U449">
        <v>8.3467181991356498E-2</v>
      </c>
      <c r="V449">
        <v>0.26107063475362141</v>
      </c>
      <c r="W449">
        <v>7.1760085137650101E-2</v>
      </c>
      <c r="X449">
        <v>0.32090777232212031</v>
      </c>
      <c r="Y449">
        <v>0.45431789908557141</v>
      </c>
      <c r="Z449">
        <v>0.37961233120517213</v>
      </c>
      <c r="AA449">
        <v>0.3180047230068197</v>
      </c>
      <c r="AB449">
        <v>0.3343570685273502</v>
      </c>
      <c r="AC449">
        <v>0.33033509583072501</v>
      </c>
    </row>
    <row r="450" spans="1:30" x14ac:dyDescent="0.4">
      <c r="A450" s="1">
        <v>45981</v>
      </c>
      <c r="B450">
        <v>313.25</v>
      </c>
      <c r="C450">
        <v>239.9</v>
      </c>
      <c r="D450">
        <v>222.75</v>
      </c>
      <c r="E450">
        <v>188.8</v>
      </c>
      <c r="F450">
        <v>163.4</v>
      </c>
      <c r="G450">
        <v>168</v>
      </c>
      <c r="H450">
        <v>126.65</v>
      </c>
      <c r="I450">
        <v>122</v>
      </c>
      <c r="J450">
        <v>132.44999999999999</v>
      </c>
      <c r="K450">
        <v>136.69999999999999</v>
      </c>
      <c r="L450">
        <v>113.8</v>
      </c>
      <c r="M450">
        <v>104.35</v>
      </c>
      <c r="N450">
        <v>103.5</v>
      </c>
      <c r="Q450">
        <v>5.6304528536226403E-2</v>
      </c>
      <c r="R450">
        <v>-2.1096149467280501E-2</v>
      </c>
      <c r="S450">
        <v>6.9402168829353003E-2</v>
      </c>
      <c r="T450">
        <v>5.6975301417143201E-2</v>
      </c>
      <c r="U450">
        <v>7.95910405101692E-2</v>
      </c>
      <c r="V450">
        <v>0.2728258572660523</v>
      </c>
      <c r="W450">
        <v>7.0955580106263696E-2</v>
      </c>
      <c r="X450">
        <v>0.3216859565209973</v>
      </c>
      <c r="Y450">
        <v>0.45884761461785728</v>
      </c>
      <c r="Z450">
        <v>0.37623520947836198</v>
      </c>
      <c r="AA450">
        <v>0.32542099267447572</v>
      </c>
      <c r="AB450">
        <v>0.32911084400826768</v>
      </c>
      <c r="AC450">
        <v>0.32807395622892571</v>
      </c>
    </row>
    <row r="451" spans="1:30" x14ac:dyDescent="0.4">
      <c r="A451" s="1">
        <v>45982</v>
      </c>
      <c r="B451">
        <v>312.45</v>
      </c>
      <c r="C451">
        <v>239.91</v>
      </c>
      <c r="D451">
        <v>222.85</v>
      </c>
      <c r="E451">
        <v>188.95</v>
      </c>
      <c r="F451">
        <v>163.19999999999999</v>
      </c>
      <c r="G451">
        <v>168.57599999999999</v>
      </c>
      <c r="H451">
        <v>126.7</v>
      </c>
      <c r="I451">
        <v>121.65</v>
      </c>
      <c r="J451">
        <v>132.65</v>
      </c>
      <c r="K451">
        <v>136.55000000000001</v>
      </c>
      <c r="L451">
        <v>114.29900000000001</v>
      </c>
      <c r="M451">
        <v>104.45</v>
      </c>
      <c r="N451">
        <v>104.989</v>
      </c>
      <c r="Q451">
        <v>6.21358646200749E-2</v>
      </c>
      <c r="R451">
        <v>-1.2698746784394199E-2</v>
      </c>
      <c r="S451">
        <v>6.9805952841691402E-2</v>
      </c>
      <c r="T451">
        <v>5.7063429663639302E-2</v>
      </c>
      <c r="U451">
        <v>8.1247288660353398E-2</v>
      </c>
      <c r="V451">
        <v>0.22134236167068971</v>
      </c>
      <c r="W451">
        <v>7.1479590093561196E-2</v>
      </c>
      <c r="X451">
        <v>0.3295627773947758</v>
      </c>
      <c r="Y451">
        <v>0.4576112889073915</v>
      </c>
      <c r="Z451">
        <v>0.3836231880530423</v>
      </c>
      <c r="AA451">
        <v>0.31638174401427771</v>
      </c>
      <c r="AB451">
        <v>0.32895815077366869</v>
      </c>
      <c r="AC451">
        <v>0.30939476357379331</v>
      </c>
    </row>
    <row r="452" spans="1:30" x14ac:dyDescent="0.4">
      <c r="A452" s="1">
        <v>45986</v>
      </c>
      <c r="B452">
        <v>312.7</v>
      </c>
      <c r="C452">
        <v>240.1</v>
      </c>
      <c r="D452">
        <v>222.65</v>
      </c>
      <c r="E452">
        <v>189.1</v>
      </c>
      <c r="F452">
        <v>163.05000000000001</v>
      </c>
      <c r="G452">
        <v>168.58</v>
      </c>
      <c r="H452">
        <v>126.6</v>
      </c>
      <c r="I452">
        <v>121.65</v>
      </c>
      <c r="J452">
        <v>131.6</v>
      </c>
      <c r="K452">
        <v>137.05000000000001</v>
      </c>
      <c r="L452">
        <v>113.64</v>
      </c>
      <c r="M452">
        <v>103.75</v>
      </c>
      <c r="N452">
        <v>103.6</v>
      </c>
      <c r="Q452">
        <v>6.6641694415637207E-2</v>
      </c>
      <c r="R452">
        <v>1.8860948759344898E-2</v>
      </c>
      <c r="S452">
        <v>7.4145535353393896E-2</v>
      </c>
      <c r="T452">
        <v>6.4655477599481703E-2</v>
      </c>
      <c r="U452">
        <v>8.4796149049808395E-2</v>
      </c>
      <c r="V452">
        <v>0.2706309122090913</v>
      </c>
      <c r="W452">
        <v>7.6313165007833805E-2</v>
      </c>
      <c r="X452">
        <v>0.33656226469165751</v>
      </c>
      <c r="Y452">
        <v>0.47424324781180582</v>
      </c>
      <c r="Z452">
        <v>0.38341168799974268</v>
      </c>
      <c r="AA452">
        <v>0.33921329014624091</v>
      </c>
      <c r="AB452">
        <v>0.33806577058094273</v>
      </c>
      <c r="AC452">
        <v>0.33227632732179291</v>
      </c>
    </row>
    <row r="453" spans="1:30" x14ac:dyDescent="0.4">
      <c r="A453" s="1">
        <v>45987</v>
      </c>
      <c r="B453">
        <v>312.5</v>
      </c>
      <c r="C453">
        <v>240.25</v>
      </c>
      <c r="D453">
        <v>222.5</v>
      </c>
      <c r="E453">
        <v>189.2</v>
      </c>
      <c r="F453">
        <v>163.15</v>
      </c>
      <c r="G453">
        <v>168.9</v>
      </c>
      <c r="H453">
        <v>126.45</v>
      </c>
      <c r="I453">
        <v>121.35</v>
      </c>
      <c r="J453">
        <v>131.983</v>
      </c>
      <c r="K453">
        <v>136.80000000000001</v>
      </c>
      <c r="L453">
        <v>113.4</v>
      </c>
      <c r="M453">
        <v>103.7</v>
      </c>
      <c r="N453">
        <v>103.2</v>
      </c>
      <c r="Q453">
        <v>6.9292788903662694E-2</v>
      </c>
      <c r="R453">
        <v>2.0750323029432801E-2</v>
      </c>
      <c r="S453">
        <v>7.5700512220220104E-2</v>
      </c>
      <c r="T453">
        <v>6.5624139795180003E-2</v>
      </c>
      <c r="U453">
        <v>8.5022032260821195E-2</v>
      </c>
      <c r="V453">
        <v>0.24133519503892409</v>
      </c>
      <c r="W453">
        <v>7.8677553443802006E-2</v>
      </c>
      <c r="X453">
        <v>0.34387755262479902</v>
      </c>
      <c r="Y453">
        <v>0.4703103149295933</v>
      </c>
      <c r="Z453">
        <v>0.39300851821184701</v>
      </c>
      <c r="AA453">
        <v>0.34690067912022149</v>
      </c>
      <c r="AB453">
        <v>0.33926222954142587</v>
      </c>
      <c r="AC453">
        <v>0.3389129571127707</v>
      </c>
    </row>
    <row r="454" spans="1:30" x14ac:dyDescent="0.4">
      <c r="A454" s="1">
        <v>45988</v>
      </c>
      <c r="B454">
        <v>312.2</v>
      </c>
      <c r="C454">
        <v>240.5</v>
      </c>
      <c r="D454">
        <v>221.45</v>
      </c>
      <c r="E454">
        <v>189.25</v>
      </c>
      <c r="F454">
        <v>162.65</v>
      </c>
      <c r="G454">
        <v>169.08</v>
      </c>
      <c r="H454">
        <v>126.15</v>
      </c>
      <c r="I454">
        <v>121.2</v>
      </c>
      <c r="J454">
        <v>130.69999999999999</v>
      </c>
      <c r="K454">
        <v>136.9</v>
      </c>
      <c r="L454">
        <v>113.85</v>
      </c>
      <c r="M454">
        <v>103.5</v>
      </c>
      <c r="N454">
        <v>103.1</v>
      </c>
      <c r="Q454">
        <v>7.2550699070013894E-2</v>
      </c>
      <c r="R454">
        <v>1.438620915524E-2</v>
      </c>
      <c r="S454">
        <v>8.1380917141006995E-2</v>
      </c>
      <c r="T454">
        <v>6.7428084151374496E-2</v>
      </c>
      <c r="U454">
        <v>8.8194913263632296E-2</v>
      </c>
      <c r="V454">
        <v>0.22985337307408671</v>
      </c>
      <c r="W454">
        <v>8.2435910303509094E-2</v>
      </c>
      <c r="X454">
        <v>0.34851615547068282</v>
      </c>
      <c r="Y454">
        <v>0.48458649110349228</v>
      </c>
      <c r="Z454">
        <v>0.3923341217373798</v>
      </c>
      <c r="AA454">
        <v>0.33862445778483091</v>
      </c>
      <c r="AB454">
        <v>0.34181183153261951</v>
      </c>
      <c r="AC454">
        <v>0.34146155659859451</v>
      </c>
    </row>
    <row r="455" spans="1:30" x14ac:dyDescent="0.4">
      <c r="A455" s="1">
        <v>45989</v>
      </c>
      <c r="B455">
        <v>314</v>
      </c>
      <c r="C455">
        <v>240.85</v>
      </c>
      <c r="D455">
        <v>223.25</v>
      </c>
      <c r="E455">
        <v>190.2</v>
      </c>
      <c r="F455">
        <v>162.85</v>
      </c>
      <c r="G455">
        <v>169.59800000000001</v>
      </c>
      <c r="H455">
        <v>126.7</v>
      </c>
      <c r="I455">
        <v>122.15</v>
      </c>
      <c r="J455">
        <v>132.30000000000001</v>
      </c>
      <c r="K455">
        <v>137.85</v>
      </c>
      <c r="L455">
        <v>114.33</v>
      </c>
      <c r="M455">
        <v>103.9</v>
      </c>
      <c r="N455">
        <v>104.25</v>
      </c>
      <c r="Q455">
        <v>6.3774678803518406E-2</v>
      </c>
      <c r="R455">
        <v>-1.4731218918663E-3</v>
      </c>
      <c r="S455">
        <v>7.4060507698287106E-2</v>
      </c>
      <c r="T455">
        <v>4.7616437286570002E-4</v>
      </c>
      <c r="U455">
        <v>8.7935122747222094E-2</v>
      </c>
      <c r="V455">
        <v>0.16682615093440381</v>
      </c>
      <c r="W455">
        <v>6.0484799633215902E-2</v>
      </c>
      <c r="X455">
        <v>0.33278078280387441</v>
      </c>
      <c r="Y455">
        <v>0.46837088494140949</v>
      </c>
      <c r="Z455">
        <v>0.38483010989423022</v>
      </c>
      <c r="AA455">
        <v>0.32965969149493513</v>
      </c>
      <c r="AB455">
        <v>0.33897940087104361</v>
      </c>
      <c r="AC455">
        <v>0.32677240465040158</v>
      </c>
    </row>
    <row r="456" spans="1:30" x14ac:dyDescent="0.4">
      <c r="A456" s="1">
        <v>45992</v>
      </c>
      <c r="B456">
        <v>314.35000000000002</v>
      </c>
      <c r="C456">
        <v>241.45</v>
      </c>
      <c r="D456">
        <v>222.11600000000001</v>
      </c>
      <c r="E456">
        <v>191.25</v>
      </c>
      <c r="F456">
        <v>162.6</v>
      </c>
      <c r="G456">
        <v>169.89</v>
      </c>
      <c r="H456">
        <v>127.05</v>
      </c>
      <c r="I456">
        <v>122.7</v>
      </c>
      <c r="J456">
        <v>131.09700000000001</v>
      </c>
      <c r="K456">
        <v>138.35</v>
      </c>
      <c r="L456">
        <v>114.75</v>
      </c>
      <c r="M456">
        <v>104.15</v>
      </c>
      <c r="N456">
        <v>104.348</v>
      </c>
      <c r="O456">
        <v>97.597999999999999</v>
      </c>
      <c r="Q456">
        <v>6.6660019712468502E-2</v>
      </c>
      <c r="R456">
        <v>-9.5015044044379996E-3</v>
      </c>
      <c r="S456">
        <v>8.2124073278183399E-2</v>
      </c>
      <c r="T456">
        <v>4.5463185835507201E-2</v>
      </c>
      <c r="U456">
        <v>9.1514445349618501E-2</v>
      </c>
      <c r="V456">
        <v>0.15386163492797339</v>
      </c>
      <c r="W456">
        <v>7.8497162467727005E-2</v>
      </c>
      <c r="X456">
        <v>0.32801709761591008</v>
      </c>
      <c r="Y456">
        <v>0.48486845662238448</v>
      </c>
      <c r="Z456">
        <v>0.35673016268137919</v>
      </c>
      <c r="AA456">
        <v>0.32620784293815119</v>
      </c>
      <c r="AB456">
        <v>0.33900682030716128</v>
      </c>
      <c r="AC456">
        <v>0.33361347135587138</v>
      </c>
      <c r="AD456">
        <v>5.4741068708124098E-2</v>
      </c>
    </row>
    <row r="457" spans="1:30" x14ac:dyDescent="0.4">
      <c r="A457" s="1">
        <v>45993</v>
      </c>
      <c r="B457">
        <v>316.25</v>
      </c>
      <c r="C457">
        <v>241.68</v>
      </c>
      <c r="D457">
        <v>223</v>
      </c>
      <c r="E457">
        <v>192.1</v>
      </c>
      <c r="F457">
        <v>163</v>
      </c>
      <c r="G457">
        <v>169.85</v>
      </c>
      <c r="H457">
        <v>127.575</v>
      </c>
      <c r="I457">
        <v>123.65</v>
      </c>
      <c r="J457">
        <v>128</v>
      </c>
      <c r="K457">
        <v>138.65</v>
      </c>
      <c r="L457">
        <v>115.91</v>
      </c>
      <c r="M457">
        <v>104.7</v>
      </c>
      <c r="N457">
        <v>105.1</v>
      </c>
      <c r="O457">
        <v>98.05</v>
      </c>
      <c r="Q457">
        <v>5.7395168334311297E-2</v>
      </c>
      <c r="R457">
        <v>-1.5538167136188301E-2</v>
      </c>
      <c r="S457">
        <v>7.9041968390497805E-2</v>
      </c>
      <c r="T457">
        <v>3.4285475377453897E-2</v>
      </c>
      <c r="U457">
        <v>9.0333103071458795E-2</v>
      </c>
      <c r="V457">
        <v>0.17426670673486641</v>
      </c>
      <c r="W457">
        <v>7.4812769686417604E-2</v>
      </c>
      <c r="X457">
        <v>0.3123456956784027</v>
      </c>
      <c r="Y457">
        <v>0.51979576887701961</v>
      </c>
      <c r="Z457">
        <v>0.34888313392175668</v>
      </c>
      <c r="AA457">
        <v>0.29952337010333041</v>
      </c>
      <c r="AB457">
        <v>0.33483434683105678</v>
      </c>
      <c r="AC457">
        <v>0.3196289188665925</v>
      </c>
      <c r="AD457">
        <v>4.6846791343291699E-2</v>
      </c>
    </row>
    <row r="458" spans="1:30" x14ac:dyDescent="0.4">
      <c r="A458" s="1">
        <v>45994</v>
      </c>
      <c r="B458">
        <v>317.3</v>
      </c>
      <c r="C458">
        <v>241.79</v>
      </c>
      <c r="D458">
        <v>224</v>
      </c>
      <c r="E458">
        <v>192.45</v>
      </c>
      <c r="F458">
        <v>163.69999999999999</v>
      </c>
      <c r="G458">
        <v>169.51499999999999</v>
      </c>
      <c r="H458">
        <v>128.19999999999999</v>
      </c>
      <c r="I458">
        <v>124.05</v>
      </c>
      <c r="J458">
        <v>132.80000000000001</v>
      </c>
      <c r="K458">
        <v>138.4</v>
      </c>
      <c r="L458">
        <v>115.95</v>
      </c>
      <c r="M458">
        <v>105.2</v>
      </c>
      <c r="N458">
        <v>105.3</v>
      </c>
      <c r="O458">
        <v>98.25</v>
      </c>
      <c r="Q458">
        <v>5.3030126036920498E-2</v>
      </c>
      <c r="R458">
        <v>-7.8432122979167004E-3</v>
      </c>
      <c r="S458">
        <v>7.5436622568207906E-2</v>
      </c>
      <c r="T458">
        <v>3.12336499425141E-2</v>
      </c>
      <c r="U458">
        <v>8.7665145105994199E-2</v>
      </c>
      <c r="V458">
        <v>0.26270866364388862</v>
      </c>
      <c r="W458">
        <v>7.0230071743063005E-2</v>
      </c>
      <c r="X458">
        <v>0.30676360726306418</v>
      </c>
      <c r="Y458">
        <v>0.46804751490833141</v>
      </c>
      <c r="Z458">
        <v>0.35957244653293541</v>
      </c>
      <c r="AA458">
        <v>0.30259006539669109</v>
      </c>
      <c r="AB458">
        <v>0.33112824942915747</v>
      </c>
      <c r="AC458">
        <v>0.31800705074804331</v>
      </c>
      <c r="AD458">
        <v>4.4395899653890201E-2</v>
      </c>
    </row>
    <row r="459" spans="1:30" x14ac:dyDescent="0.4">
      <c r="A459" s="1">
        <v>45995</v>
      </c>
      <c r="B459">
        <v>317.5</v>
      </c>
      <c r="C459">
        <v>242</v>
      </c>
      <c r="D459">
        <v>223.114</v>
      </c>
      <c r="E459">
        <v>192.5</v>
      </c>
      <c r="F459">
        <v>163.75</v>
      </c>
      <c r="G459">
        <v>169.9</v>
      </c>
      <c r="H459">
        <v>128.94999999999999</v>
      </c>
      <c r="I459">
        <v>124.05</v>
      </c>
      <c r="J459">
        <v>132.4</v>
      </c>
      <c r="K459">
        <v>138.25</v>
      </c>
      <c r="L459">
        <v>115.8</v>
      </c>
      <c r="M459">
        <v>105.1</v>
      </c>
      <c r="N459">
        <v>105.2</v>
      </c>
      <c r="O459">
        <v>98.22</v>
      </c>
      <c r="Q459">
        <v>5.35248364356877E-2</v>
      </c>
      <c r="R459">
        <v>-1.21219127873444E-2</v>
      </c>
      <c r="S459">
        <v>8.05178564910142E-2</v>
      </c>
      <c r="T459">
        <v>3.30871559890192E-2</v>
      </c>
      <c r="U459">
        <v>8.8222567293953294E-2</v>
      </c>
      <c r="V459">
        <v>0.19747970094026801</v>
      </c>
      <c r="W459">
        <v>6.4539927328681496E-2</v>
      </c>
      <c r="X459">
        <v>0.30844559864473847</v>
      </c>
      <c r="Y459">
        <v>0.47973785099994959</v>
      </c>
      <c r="Z459">
        <v>0.36680828688208161</v>
      </c>
      <c r="AA459">
        <v>0.30800685431476138</v>
      </c>
      <c r="AB459">
        <v>0.33276299125006609</v>
      </c>
      <c r="AC459">
        <v>0.320478285641007</v>
      </c>
      <c r="AD459">
        <v>4.6928332699938097E-2</v>
      </c>
    </row>
    <row r="460" spans="1:30" x14ac:dyDescent="0.4">
      <c r="A460" s="1">
        <v>45996</v>
      </c>
      <c r="B460">
        <v>318.39999999999998</v>
      </c>
      <c r="C460">
        <v>242.55</v>
      </c>
      <c r="D460">
        <v>224.476</v>
      </c>
      <c r="E460">
        <v>193.25</v>
      </c>
      <c r="F460">
        <v>164</v>
      </c>
      <c r="G460">
        <v>170.3</v>
      </c>
      <c r="H460">
        <v>128.5</v>
      </c>
      <c r="I460">
        <v>124.4</v>
      </c>
      <c r="J460">
        <v>132.4</v>
      </c>
      <c r="K460">
        <v>138.5</v>
      </c>
      <c r="L460">
        <v>116.4</v>
      </c>
      <c r="M460">
        <v>105.4</v>
      </c>
      <c r="N460">
        <v>106.25</v>
      </c>
      <c r="O460">
        <v>99</v>
      </c>
      <c r="Q460">
        <v>4.9998600660180401E-2</v>
      </c>
      <c r="R460">
        <v>-6.5602217297148893E-2</v>
      </c>
      <c r="S460">
        <v>7.5227320290429597E-2</v>
      </c>
      <c r="T460">
        <v>2.3385978081458699E-2</v>
      </c>
      <c r="U460">
        <v>8.7788779621993898E-2</v>
      </c>
      <c r="V460">
        <v>0.1202869806296382</v>
      </c>
      <c r="W460">
        <v>6.9709860554611494E-2</v>
      </c>
      <c r="X460">
        <v>0.30374209230329619</v>
      </c>
      <c r="Y460">
        <v>0.47308436986514668</v>
      </c>
      <c r="Z460">
        <v>0.35972707887615057</v>
      </c>
      <c r="AA460">
        <v>0.29616195035427151</v>
      </c>
      <c r="AB460">
        <v>0.33083729006335472</v>
      </c>
      <c r="AC460">
        <v>0.30731010617650228</v>
      </c>
      <c r="AD460">
        <v>3.1908364182143399E-2</v>
      </c>
    </row>
    <row r="461" spans="1:30" x14ac:dyDescent="0.4">
      <c r="A461" s="1">
        <v>46000</v>
      </c>
      <c r="B461">
        <v>318.14999999999998</v>
      </c>
      <c r="C461">
        <v>242.75</v>
      </c>
      <c r="D461">
        <v>224.61699999999999</v>
      </c>
      <c r="E461">
        <v>192.9</v>
      </c>
      <c r="F461">
        <v>164.3</v>
      </c>
      <c r="G461">
        <v>170.27</v>
      </c>
      <c r="H461">
        <v>128.44999999999999</v>
      </c>
      <c r="I461">
        <v>124.25</v>
      </c>
      <c r="J461">
        <v>132.35</v>
      </c>
      <c r="K461">
        <v>138.25</v>
      </c>
      <c r="L461">
        <v>115.89</v>
      </c>
      <c r="M461">
        <v>105.5</v>
      </c>
      <c r="N461">
        <v>105.85</v>
      </c>
      <c r="O461">
        <v>98.5</v>
      </c>
      <c r="Q461">
        <v>5.6726251486075102E-2</v>
      </c>
      <c r="R461">
        <v>-2.57707951101258E-2</v>
      </c>
      <c r="S461">
        <v>7.7788522290876003E-2</v>
      </c>
      <c r="T461">
        <v>3.7773976910179301E-2</v>
      </c>
      <c r="U461">
        <v>8.8923350758893294E-2</v>
      </c>
      <c r="V461">
        <v>0.22125455743744291</v>
      </c>
      <c r="W461">
        <v>7.3760212537825207E-2</v>
      </c>
      <c r="X461">
        <v>0.36158656131931211</v>
      </c>
      <c r="Y461">
        <v>0.4771091716778601</v>
      </c>
      <c r="Z461">
        <v>0.38055090548311438</v>
      </c>
      <c r="AA461">
        <v>0.31616199590004218</v>
      </c>
      <c r="AB461">
        <v>0.33294372329931998</v>
      </c>
      <c r="AC461">
        <v>0.31712033639603088</v>
      </c>
      <c r="AD461">
        <v>4.8741980275543599E-2</v>
      </c>
    </row>
    <row r="462" spans="1:30" x14ac:dyDescent="0.4">
      <c r="A462" s="1">
        <v>46001</v>
      </c>
      <c r="B462">
        <v>318.39999999999998</v>
      </c>
      <c r="C462">
        <v>242.85</v>
      </c>
      <c r="D462">
        <v>226.25</v>
      </c>
      <c r="E462">
        <v>193.6</v>
      </c>
      <c r="F462">
        <v>164.9</v>
      </c>
      <c r="G462">
        <v>170.49</v>
      </c>
      <c r="H462">
        <v>128.55000000000001</v>
      </c>
      <c r="I462">
        <v>124.5</v>
      </c>
      <c r="J462">
        <v>132.9</v>
      </c>
      <c r="K462">
        <v>138.69999999999999</v>
      </c>
      <c r="L462">
        <v>116.2</v>
      </c>
      <c r="M462">
        <v>105.9</v>
      </c>
      <c r="N462">
        <v>106.25</v>
      </c>
      <c r="O462">
        <v>98.3</v>
      </c>
      <c r="Q462">
        <v>5.69631253926964E-2</v>
      </c>
      <c r="R462">
        <v>-6.3892437467347003E-3</v>
      </c>
      <c r="S462">
        <v>7.1225331656403906E-2</v>
      </c>
      <c r="T462">
        <v>2.8521686016987801E-2</v>
      </c>
      <c r="U462">
        <v>8.67426334314957E-2</v>
      </c>
      <c r="V462">
        <v>0.15822158946471709</v>
      </c>
      <c r="W462">
        <v>7.3971951748002696E-2</v>
      </c>
      <c r="X462">
        <v>0.31045175870653952</v>
      </c>
      <c r="Y462">
        <v>0.47271295766398558</v>
      </c>
      <c r="Z462">
        <v>0.3684182276729594</v>
      </c>
      <c r="AA462">
        <v>0.3108540666125667</v>
      </c>
      <c r="AB462">
        <v>0.33011499269458</v>
      </c>
      <c r="AC462">
        <v>0.3127275047805726</v>
      </c>
      <c r="AD462">
        <v>5.5253034760096603E-2</v>
      </c>
    </row>
    <row r="463" spans="1:30" x14ac:dyDescent="0.4">
      <c r="A463" s="1">
        <v>46002</v>
      </c>
      <c r="B463">
        <v>319.5</v>
      </c>
      <c r="C463">
        <v>243</v>
      </c>
      <c r="D463">
        <v>226.5</v>
      </c>
      <c r="E463">
        <v>193.9</v>
      </c>
      <c r="F463">
        <v>165.35</v>
      </c>
      <c r="G463">
        <v>170.65</v>
      </c>
      <c r="H463">
        <v>129.15</v>
      </c>
      <c r="I463">
        <v>124.4</v>
      </c>
      <c r="J463">
        <v>133.15</v>
      </c>
      <c r="K463">
        <v>138.75</v>
      </c>
      <c r="L463">
        <v>116.101</v>
      </c>
      <c r="M463">
        <v>105.95</v>
      </c>
      <c r="N463">
        <v>106.613</v>
      </c>
      <c r="O463">
        <v>98.95</v>
      </c>
      <c r="Q463">
        <v>5.2171464046450497E-2</v>
      </c>
      <c r="R463">
        <v>4.6472510091976997E-3</v>
      </c>
      <c r="S463">
        <v>7.1063116333722601E-2</v>
      </c>
      <c r="T463">
        <v>2.61269804589115E-2</v>
      </c>
      <c r="U463">
        <v>8.5313637256161395E-2</v>
      </c>
      <c r="V463">
        <v>0.10426982137042359</v>
      </c>
      <c r="W463">
        <v>6.9551781377950497E-2</v>
      </c>
      <c r="X463">
        <v>0.31410553670733787</v>
      </c>
      <c r="Y463">
        <v>0.47155815512735028</v>
      </c>
      <c r="Z463">
        <v>0.37106979726484879</v>
      </c>
      <c r="AA463">
        <v>0.31534129914126441</v>
      </c>
      <c r="AB463">
        <v>0.33041880415961339</v>
      </c>
      <c r="AC463">
        <v>0.30884901039673651</v>
      </c>
      <c r="AD463">
        <v>4.2554835524502198E-2</v>
      </c>
    </row>
    <row r="464" spans="1:30" x14ac:dyDescent="0.4">
      <c r="A464" s="1">
        <v>46003</v>
      </c>
      <c r="B464">
        <v>322.25</v>
      </c>
      <c r="C464">
        <v>242.96</v>
      </c>
      <c r="D464">
        <v>229</v>
      </c>
      <c r="E464">
        <v>194.6</v>
      </c>
      <c r="F464">
        <v>167.15</v>
      </c>
      <c r="G464">
        <v>170.58</v>
      </c>
      <c r="H464">
        <v>130.9</v>
      </c>
      <c r="I464">
        <v>125.15</v>
      </c>
      <c r="J464">
        <v>133.6</v>
      </c>
      <c r="K464">
        <v>139.25</v>
      </c>
      <c r="L464">
        <v>116.679</v>
      </c>
      <c r="M464">
        <v>107.35</v>
      </c>
      <c r="N464">
        <v>108.09</v>
      </c>
      <c r="O464">
        <v>99.55</v>
      </c>
      <c r="Q464">
        <v>3.7743032594681002E-2</v>
      </c>
      <c r="R464">
        <v>0.1240097705218495</v>
      </c>
      <c r="S464">
        <v>6.0607033337142097E-2</v>
      </c>
      <c r="T464">
        <v>1.67689897741835E-2</v>
      </c>
      <c r="U464">
        <v>7.7231467834451603E-2</v>
      </c>
      <c r="V464">
        <v>0.19898985799317151</v>
      </c>
      <c r="W464">
        <v>5.4691692861424501E-2</v>
      </c>
      <c r="X464">
        <v>0.30174088054959541</v>
      </c>
      <c r="Y464">
        <v>0.46689436576111659</v>
      </c>
      <c r="Z464">
        <v>0.35390863484310409</v>
      </c>
      <c r="AA464">
        <v>0.30354322657813698</v>
      </c>
      <c r="AB464">
        <v>0.3187491045245503</v>
      </c>
      <c r="AC464">
        <v>0.2899475188565776</v>
      </c>
      <c r="AD464">
        <v>3.1065138873273099E-2</v>
      </c>
    </row>
    <row r="465" spans="1:31" x14ac:dyDescent="0.4">
      <c r="A465" s="1">
        <v>46006</v>
      </c>
      <c r="B465">
        <v>325</v>
      </c>
      <c r="D465">
        <v>231</v>
      </c>
      <c r="E465">
        <v>195.5</v>
      </c>
      <c r="F465">
        <v>168.03700000000001</v>
      </c>
      <c r="H465">
        <v>131.5</v>
      </c>
      <c r="I465">
        <v>124.9</v>
      </c>
      <c r="J465">
        <v>135.55000000000001</v>
      </c>
      <c r="K465">
        <v>140.22</v>
      </c>
      <c r="L465">
        <v>116.699</v>
      </c>
      <c r="M465">
        <v>107.1</v>
      </c>
      <c r="N465">
        <v>107.91</v>
      </c>
      <c r="O465">
        <v>100.05</v>
      </c>
      <c r="Q465">
        <v>2.3746488584490098E-2</v>
      </c>
      <c r="S465">
        <v>5.2844978552710302E-2</v>
      </c>
      <c r="T465">
        <v>4.0118231910238004E-3</v>
      </c>
      <c r="U465">
        <v>7.4438282260070501E-2</v>
      </c>
      <c r="W465">
        <v>5.06863821985859E-2</v>
      </c>
      <c r="X465">
        <v>0.31176344666148448</v>
      </c>
      <c r="Y465">
        <v>0.40884563701203741</v>
      </c>
      <c r="Z465">
        <v>0.32755725836208838</v>
      </c>
      <c r="AA465">
        <v>0.30935141157983381</v>
      </c>
      <c r="AB465">
        <v>0.32315070536827628</v>
      </c>
      <c r="AC465">
        <v>0.29547417245057978</v>
      </c>
      <c r="AD465">
        <v>2.2112224997542899E-2</v>
      </c>
    </row>
    <row r="466" spans="1:31" x14ac:dyDescent="0.4">
      <c r="A466" s="1">
        <v>46007</v>
      </c>
      <c r="B466">
        <v>325.5</v>
      </c>
      <c r="D466">
        <v>231.221</v>
      </c>
      <c r="E466">
        <v>195.9</v>
      </c>
      <c r="F466">
        <v>169.5</v>
      </c>
      <c r="H466">
        <v>132.30000000000001</v>
      </c>
      <c r="I466">
        <v>125.45</v>
      </c>
      <c r="J466">
        <v>134.84399999999999</v>
      </c>
      <c r="K466">
        <v>139.80000000000001</v>
      </c>
      <c r="L466">
        <v>116.9</v>
      </c>
      <c r="M466">
        <v>107.3</v>
      </c>
      <c r="N466">
        <v>107.53700000000001</v>
      </c>
      <c r="O466">
        <v>100.6</v>
      </c>
      <c r="P466">
        <v>100.43</v>
      </c>
      <c r="Q466">
        <v>2.5255427989738798E-2</v>
      </c>
      <c r="S466">
        <v>5.4913118406650398E-2</v>
      </c>
      <c r="T466">
        <v>4.8422862569694998E-3</v>
      </c>
      <c r="U466">
        <v>6.8927675464512006E-2</v>
      </c>
      <c r="W466">
        <v>4.6349202822787199E-2</v>
      </c>
      <c r="X466">
        <v>0.30302251875065572</v>
      </c>
      <c r="Y466">
        <v>0.4570184351962967</v>
      </c>
      <c r="Z466">
        <v>0.3448911070406212</v>
      </c>
      <c r="AA466">
        <v>0.30656011187283622</v>
      </c>
      <c r="AB466">
        <v>0.31244123579284111</v>
      </c>
      <c r="AC466">
        <v>0.30162144831686022</v>
      </c>
      <c r="AD466">
        <v>1.5074712415751E-2</v>
      </c>
      <c r="AE466">
        <v>0.30639502041773897</v>
      </c>
    </row>
    <row r="467" spans="1:31" x14ac:dyDescent="0.4">
      <c r="A467" s="1">
        <v>46008</v>
      </c>
      <c r="B467">
        <v>325.55</v>
      </c>
      <c r="D467">
        <v>232.2</v>
      </c>
      <c r="E467">
        <v>196.25</v>
      </c>
      <c r="F467">
        <v>169.95</v>
      </c>
      <c r="H467">
        <v>132.6</v>
      </c>
      <c r="I467">
        <v>125.2</v>
      </c>
      <c r="J467">
        <v>136.4</v>
      </c>
      <c r="K467">
        <v>139.9</v>
      </c>
      <c r="L467">
        <v>116.747</v>
      </c>
      <c r="M467">
        <v>107.2</v>
      </c>
      <c r="N467">
        <v>108.15</v>
      </c>
      <c r="O467">
        <v>100.7</v>
      </c>
      <c r="P467">
        <v>100.5</v>
      </c>
      <c r="Q467">
        <v>8.7266362467721993E-3</v>
      </c>
      <c r="S467">
        <v>5.0901124666929302E-2</v>
      </c>
      <c r="T467">
        <v>1.3224722468281999E-3</v>
      </c>
      <c r="U467">
        <v>6.7526942387365299E-2</v>
      </c>
      <c r="W467">
        <v>4.8750128226123603E-2</v>
      </c>
      <c r="X467">
        <v>0.30960646163378491</v>
      </c>
      <c r="Y467">
        <v>0.44202835466515811</v>
      </c>
      <c r="Z467">
        <v>0.34547897367091868</v>
      </c>
      <c r="AA467">
        <v>0.31249618769688409</v>
      </c>
      <c r="AB467">
        <v>0.32374494126847309</v>
      </c>
      <c r="AC467">
        <v>0.29432214371133059</v>
      </c>
      <c r="AD467">
        <v>1.4639704352937001E-2</v>
      </c>
      <c r="AE467">
        <v>0.30657250588238921</v>
      </c>
    </row>
    <row r="468" spans="1:31" x14ac:dyDescent="0.4">
      <c r="A468" s="1">
        <v>46009</v>
      </c>
      <c r="B468">
        <v>325.8</v>
      </c>
      <c r="D468">
        <v>232.3</v>
      </c>
      <c r="E468">
        <v>196.25</v>
      </c>
      <c r="F468">
        <v>170</v>
      </c>
      <c r="H468">
        <v>132.5</v>
      </c>
      <c r="I468">
        <v>124.8</v>
      </c>
      <c r="J468">
        <v>135.5</v>
      </c>
      <c r="K468">
        <v>140</v>
      </c>
      <c r="L468">
        <v>116.75</v>
      </c>
      <c r="M468">
        <v>107.15</v>
      </c>
      <c r="N468">
        <v>107.81</v>
      </c>
      <c r="O468">
        <v>100.75</v>
      </c>
      <c r="P468">
        <v>100.42</v>
      </c>
      <c r="Q468">
        <v>2.66515370113737E-2</v>
      </c>
      <c r="S468">
        <v>5.1387649090589398E-2</v>
      </c>
      <c r="T468">
        <v>3.9919866382164999E-3</v>
      </c>
      <c r="U468">
        <v>6.8057088855318804E-2</v>
      </c>
      <c r="W468">
        <v>4.6655742163170401E-2</v>
      </c>
      <c r="X468">
        <v>0.3192391570293836</v>
      </c>
      <c r="Y468">
        <v>0.45302184924323841</v>
      </c>
      <c r="Z468">
        <v>0.3460832802554763</v>
      </c>
      <c r="AA468">
        <v>0.314626103573108</v>
      </c>
      <c r="AB468">
        <v>0.32493741844665092</v>
      </c>
      <c r="AC468">
        <v>0.3000343627844051</v>
      </c>
      <c r="AD468">
        <v>1.53209881559833E-2</v>
      </c>
      <c r="AE468">
        <v>0.31261942991294078</v>
      </c>
    </row>
    <row r="469" spans="1:31" x14ac:dyDescent="0.4">
      <c r="A469" s="1">
        <v>46010</v>
      </c>
      <c r="B469">
        <v>326.14999999999998</v>
      </c>
      <c r="D469">
        <v>232.6</v>
      </c>
      <c r="E469">
        <v>196.45</v>
      </c>
      <c r="F469">
        <v>170.6</v>
      </c>
      <c r="H469">
        <v>132.42500000000001</v>
      </c>
      <c r="I469">
        <v>125</v>
      </c>
      <c r="J469">
        <v>135.85</v>
      </c>
      <c r="K469">
        <v>140.6</v>
      </c>
      <c r="L469">
        <v>116.88</v>
      </c>
      <c r="M469">
        <v>107.45</v>
      </c>
      <c r="N469">
        <v>107.70099999999999</v>
      </c>
      <c r="O469">
        <v>100.7</v>
      </c>
      <c r="P469">
        <v>100.6</v>
      </c>
      <c r="Q469">
        <v>2.6186914352440999E-2</v>
      </c>
      <c r="S469">
        <v>5.0975215711498198E-2</v>
      </c>
      <c r="T469">
        <v>3.1080555922705999E-3</v>
      </c>
      <c r="U469">
        <v>6.54516463020407E-2</v>
      </c>
      <c r="W469">
        <v>4.8392628128902097E-2</v>
      </c>
      <c r="X469">
        <v>0.31719417228876517</v>
      </c>
      <c r="Y469">
        <v>0.4494952081581981</v>
      </c>
      <c r="Z469">
        <v>0.32404216740651642</v>
      </c>
      <c r="AA469">
        <v>0.3135888465333227</v>
      </c>
      <c r="AB469">
        <v>0.32300564790470521</v>
      </c>
      <c r="AC469">
        <v>0.30262276010392719</v>
      </c>
      <c r="AD469">
        <v>1.8268903865051402E-2</v>
      </c>
      <c r="AE469">
        <v>0.30851496328609251</v>
      </c>
    </row>
    <row r="470" spans="1:31" x14ac:dyDescent="0.4">
      <c r="A470" s="1">
        <v>46013</v>
      </c>
      <c r="B470">
        <v>326</v>
      </c>
      <c r="D470">
        <v>232.9</v>
      </c>
      <c r="E470">
        <v>196.15</v>
      </c>
      <c r="F470">
        <v>171.43700000000001</v>
      </c>
      <c r="H470">
        <v>132.57</v>
      </c>
      <c r="I470">
        <v>124.75</v>
      </c>
      <c r="J470">
        <v>135.85</v>
      </c>
      <c r="K470">
        <v>140.69999999999999</v>
      </c>
      <c r="L470">
        <v>116.83199999999999</v>
      </c>
      <c r="M470">
        <v>107.9</v>
      </c>
      <c r="N470">
        <v>107.55</v>
      </c>
      <c r="O470">
        <v>100.7</v>
      </c>
      <c r="P470">
        <v>100.63</v>
      </c>
      <c r="Q470">
        <v>2.89777849698215E-2</v>
      </c>
      <c r="S470">
        <v>5.0851967734245697E-2</v>
      </c>
      <c r="T470">
        <v>1.1577465562292E-2</v>
      </c>
      <c r="U470">
        <v>6.2956531222159801E-2</v>
      </c>
      <c r="W470">
        <v>4.8462124432389002E-2</v>
      </c>
      <c r="X470">
        <v>0.32796431061455023</v>
      </c>
      <c r="Y470">
        <v>0.45401123608145472</v>
      </c>
      <c r="Z470">
        <v>0.33331303166194332</v>
      </c>
      <c r="AA470">
        <v>0.32164599537901878</v>
      </c>
      <c r="AB470">
        <v>0.32122638180016988</v>
      </c>
      <c r="AC470">
        <v>0.30805423254716879</v>
      </c>
      <c r="AD470">
        <v>2.0379734470394501E-2</v>
      </c>
      <c r="AE470">
        <v>0.316427543093528</v>
      </c>
    </row>
    <row r="471" spans="1:31" x14ac:dyDescent="0.4">
      <c r="A471" s="1">
        <v>46014</v>
      </c>
      <c r="B471">
        <v>324.95</v>
      </c>
      <c r="D471">
        <v>232.35</v>
      </c>
      <c r="E471">
        <v>195.9</v>
      </c>
      <c r="F471">
        <v>170.3</v>
      </c>
      <c r="H471">
        <v>132</v>
      </c>
      <c r="I471">
        <v>124.4</v>
      </c>
      <c r="J471">
        <v>135.25</v>
      </c>
      <c r="K471">
        <v>140</v>
      </c>
      <c r="L471">
        <v>116.33</v>
      </c>
      <c r="M471">
        <v>107.2</v>
      </c>
      <c r="N471">
        <v>107.001</v>
      </c>
      <c r="O471">
        <v>100.55</v>
      </c>
      <c r="P471">
        <v>100.19499999999999</v>
      </c>
      <c r="Q471">
        <v>4.1473989916349499E-2</v>
      </c>
      <c r="S471">
        <v>5.6732692217748203E-2</v>
      </c>
      <c r="T471">
        <v>2.7831368048915801E-2</v>
      </c>
      <c r="U471">
        <v>7.1133532699101207E-2</v>
      </c>
      <c r="W471">
        <v>5.7570224847863297E-2</v>
      </c>
      <c r="X471">
        <v>0.33709518280880402</v>
      </c>
      <c r="Y471">
        <v>0.45948837725289859</v>
      </c>
      <c r="Z471">
        <v>0.36101071338033791</v>
      </c>
      <c r="AA471">
        <v>0.33713318487725891</v>
      </c>
      <c r="AB471">
        <v>0.32827108576905623</v>
      </c>
      <c r="AC471">
        <v>0.3169628136297637</v>
      </c>
      <c r="AD471">
        <v>4.1809142840439899E-2</v>
      </c>
      <c r="AE471">
        <v>0.33759570929669119</v>
      </c>
    </row>
    <row r="472" spans="1:31" x14ac:dyDescent="0.4">
      <c r="A472" s="1">
        <v>46015</v>
      </c>
      <c r="B472">
        <v>325.89999999999998</v>
      </c>
      <c r="D472">
        <v>232.65</v>
      </c>
      <c r="E472">
        <v>197</v>
      </c>
      <c r="F472">
        <v>171.5</v>
      </c>
      <c r="H472">
        <v>132.5</v>
      </c>
      <c r="I472">
        <v>124.6</v>
      </c>
      <c r="J472">
        <v>134.85</v>
      </c>
      <c r="K472">
        <v>139.6</v>
      </c>
      <c r="L472">
        <v>116.884</v>
      </c>
      <c r="M472">
        <v>107.4</v>
      </c>
      <c r="N472">
        <v>107.98699999999999</v>
      </c>
      <c r="O472">
        <v>101.5</v>
      </c>
      <c r="P472">
        <v>100.5</v>
      </c>
      <c r="Q472">
        <v>3.73968377671451E-2</v>
      </c>
      <c r="S472">
        <v>5.63277022139545E-2</v>
      </c>
      <c r="T472">
        <v>9.8137813906658995E-3</v>
      </c>
      <c r="U472">
        <v>6.6076831290397195E-2</v>
      </c>
      <c r="W472">
        <v>5.4054665616426099E-2</v>
      </c>
      <c r="X472">
        <v>0.33504975653045171</v>
      </c>
      <c r="Y472">
        <v>0.46420090607971232</v>
      </c>
      <c r="Z472">
        <v>0.38039449264692599</v>
      </c>
      <c r="AA472">
        <v>0.3250184669382315</v>
      </c>
      <c r="AB472">
        <v>0.32722632603699631</v>
      </c>
      <c r="AC472">
        <v>0.30416659213995489</v>
      </c>
      <c r="AD472">
        <v>1.09785285334324E-2</v>
      </c>
      <c r="AE472">
        <v>0.32820319448889063</v>
      </c>
    </row>
    <row r="473" spans="1:31" x14ac:dyDescent="0.4">
      <c r="A473" s="1">
        <v>46017</v>
      </c>
      <c r="B473">
        <v>325</v>
      </c>
      <c r="D473">
        <v>232.45</v>
      </c>
      <c r="E473">
        <v>195.9</v>
      </c>
      <c r="F473">
        <v>170</v>
      </c>
      <c r="H473">
        <v>132</v>
      </c>
      <c r="I473">
        <v>124.48</v>
      </c>
      <c r="J473">
        <v>134.9</v>
      </c>
      <c r="K473">
        <v>139.44999999999999</v>
      </c>
      <c r="L473">
        <v>116.58</v>
      </c>
      <c r="M473">
        <v>107</v>
      </c>
      <c r="N473">
        <v>107.1</v>
      </c>
      <c r="O473">
        <v>100.8</v>
      </c>
      <c r="P473">
        <v>100.23</v>
      </c>
      <c r="Q473">
        <v>5.7466849621898297E-2</v>
      </c>
      <c r="S473">
        <v>5.8394901009735302E-2</v>
      </c>
      <c r="T473">
        <v>7.3576511638672695E-2</v>
      </c>
      <c r="U473">
        <v>7.4367267525397698E-2</v>
      </c>
      <c r="W473">
        <v>6.0023593658680902E-2</v>
      </c>
      <c r="X473">
        <v>0.34170430925817669</v>
      </c>
      <c r="Y473">
        <v>0.46447163927797142</v>
      </c>
      <c r="Z473">
        <v>0.39239314858669377</v>
      </c>
      <c r="AA473">
        <v>0.33799089841514751</v>
      </c>
      <c r="AB473">
        <v>0.33240844884689619</v>
      </c>
      <c r="AC473">
        <v>0.31907274376742012</v>
      </c>
      <c r="AD473">
        <v>2.9435013154778499E-2</v>
      </c>
      <c r="AE473">
        <v>0.34654547094906091</v>
      </c>
    </row>
    <row r="474" spans="1:31" x14ac:dyDescent="0.4">
      <c r="A474" s="1">
        <v>46020</v>
      </c>
      <c r="B474">
        <v>323.95</v>
      </c>
      <c r="D474">
        <v>230.42400000000001</v>
      </c>
      <c r="E474">
        <v>195.85</v>
      </c>
      <c r="F474">
        <v>170.25</v>
      </c>
      <c r="H474">
        <v>131.85</v>
      </c>
      <c r="I474">
        <v>124.55</v>
      </c>
      <c r="J474">
        <v>134.5</v>
      </c>
      <c r="K474">
        <v>139.80000000000001</v>
      </c>
      <c r="L474">
        <v>116.25</v>
      </c>
      <c r="M474">
        <v>106.75</v>
      </c>
      <c r="N474">
        <v>107.1</v>
      </c>
      <c r="O474">
        <v>100.35</v>
      </c>
      <c r="P474">
        <v>100.874</v>
      </c>
      <c r="Q474">
        <v>5.3908645002247499E-2</v>
      </c>
      <c r="S474">
        <v>6.9289515133640803E-2</v>
      </c>
      <c r="T474">
        <v>3.9913975555772002E-2</v>
      </c>
      <c r="U474">
        <v>7.4270907458085997E-2</v>
      </c>
      <c r="W474">
        <v>6.3006393132548397E-2</v>
      </c>
      <c r="X474">
        <v>0.34775916356976228</v>
      </c>
      <c r="Y474">
        <v>0.4726357738005485</v>
      </c>
      <c r="Z474">
        <v>0.40286880597371499</v>
      </c>
      <c r="AA474">
        <v>0.35629719221516598</v>
      </c>
      <c r="AB474">
        <v>0.33707612324498459</v>
      </c>
      <c r="AC474">
        <v>0.3226706534334875</v>
      </c>
      <c r="AD474">
        <v>4.2957582857100197E-2</v>
      </c>
      <c r="AE474">
        <v>0.34560891642557351</v>
      </c>
    </row>
    <row r="475" spans="1:31" x14ac:dyDescent="0.4">
      <c r="A475" s="1">
        <v>46021</v>
      </c>
      <c r="B475">
        <v>324.55</v>
      </c>
      <c r="D475">
        <v>230</v>
      </c>
      <c r="E475">
        <v>195.45</v>
      </c>
      <c r="F475">
        <v>168.75</v>
      </c>
      <c r="H475">
        <v>130.69999999999999</v>
      </c>
      <c r="I475">
        <v>124.4</v>
      </c>
      <c r="J475">
        <v>134.5</v>
      </c>
      <c r="K475">
        <v>140.30000000000001</v>
      </c>
      <c r="L475">
        <v>115.90600000000001</v>
      </c>
      <c r="M475">
        <v>106.5</v>
      </c>
      <c r="N475">
        <v>106.7</v>
      </c>
      <c r="O475">
        <v>100.5</v>
      </c>
      <c r="P475">
        <v>99.864999999999995</v>
      </c>
      <c r="Q475">
        <v>5.5096247594270203E-2</v>
      </c>
      <c r="S475">
        <v>7.4031313606577206E-2</v>
      </c>
      <c r="T475">
        <v>5.8287359476648301E-2</v>
      </c>
      <c r="U475">
        <v>8.3916718452524602E-2</v>
      </c>
      <c r="W475">
        <v>7.8180998044875299E-2</v>
      </c>
      <c r="X475">
        <v>0.35211839507080001</v>
      </c>
      <c r="Y475">
        <v>0.47426521554867213</v>
      </c>
      <c r="Z475">
        <v>0.37380448310050618</v>
      </c>
      <c r="AA475">
        <v>0.36731557843985357</v>
      </c>
      <c r="AB475">
        <v>0.3327923781817439</v>
      </c>
      <c r="AC475">
        <v>0.32976725072323831</v>
      </c>
      <c r="AD475">
        <v>4.52055939206258E-2</v>
      </c>
      <c r="AE475">
        <v>0.3781243322891194</v>
      </c>
    </row>
    <row r="476" spans="1:31" x14ac:dyDescent="0.4">
      <c r="A476" s="1">
        <v>46024</v>
      </c>
      <c r="B476">
        <v>323.39999999999998</v>
      </c>
      <c r="D476">
        <v>231.95</v>
      </c>
      <c r="E476">
        <v>196</v>
      </c>
      <c r="F476">
        <v>170</v>
      </c>
      <c r="H476">
        <v>131.65</v>
      </c>
      <c r="I476">
        <v>124.5</v>
      </c>
      <c r="J476">
        <v>133.69999999999999</v>
      </c>
      <c r="K476">
        <v>140.35</v>
      </c>
      <c r="L476">
        <v>116.1</v>
      </c>
      <c r="M476">
        <v>106.35</v>
      </c>
      <c r="N476">
        <v>106.75</v>
      </c>
      <c r="O476">
        <v>100.3</v>
      </c>
      <c r="P476">
        <v>100.33</v>
      </c>
      <c r="Q476">
        <v>6.7024427462866396E-2</v>
      </c>
      <c r="S476">
        <v>6.7084961318553293E-2</v>
      </c>
      <c r="T476">
        <v>5.5067535476445599E-2</v>
      </c>
      <c r="U476">
        <v>7.9519233245016502E-2</v>
      </c>
      <c r="W476">
        <v>7.0743986601108894E-2</v>
      </c>
      <c r="X476">
        <v>0.36780288985220538</v>
      </c>
      <c r="Y476">
        <v>0.48417125938801042</v>
      </c>
      <c r="Z476">
        <v>0.3781289803626518</v>
      </c>
      <c r="AA476">
        <v>0.3704490569227375</v>
      </c>
      <c r="AB476">
        <v>0.34405209420091049</v>
      </c>
      <c r="AC476">
        <v>0.31736438516089421</v>
      </c>
      <c r="AD476">
        <v>5.5374633090714297E-2</v>
      </c>
      <c r="AE476">
        <v>0.36883438535124741</v>
      </c>
    </row>
    <row r="477" spans="1:31" x14ac:dyDescent="0.4">
      <c r="A477" s="1">
        <v>46027</v>
      </c>
      <c r="B477">
        <v>325.25</v>
      </c>
      <c r="D477">
        <v>232.8</v>
      </c>
      <c r="E477">
        <v>197.25</v>
      </c>
      <c r="F477">
        <v>171</v>
      </c>
      <c r="H477">
        <v>132.80000000000001</v>
      </c>
      <c r="I477">
        <v>124.9</v>
      </c>
      <c r="J477">
        <v>134.30000000000001</v>
      </c>
      <c r="K477">
        <v>140.9</v>
      </c>
      <c r="L477">
        <v>116.73099999999999</v>
      </c>
      <c r="M477">
        <v>106.7</v>
      </c>
      <c r="N477">
        <v>106.8</v>
      </c>
      <c r="O477">
        <v>100.75</v>
      </c>
      <c r="P477">
        <v>100.7</v>
      </c>
      <c r="Q477">
        <v>5.7535633307445197E-2</v>
      </c>
      <c r="S477">
        <v>6.4497030672574507E-2</v>
      </c>
      <c r="T477">
        <v>3.2460965494092102E-2</v>
      </c>
      <c r="U477">
        <v>7.5699369174830902E-2</v>
      </c>
      <c r="W477">
        <v>6.1302828775150399E-2</v>
      </c>
      <c r="X477">
        <v>0.35493303545511468</v>
      </c>
      <c r="Y477">
        <v>0.48425084072266922</v>
      </c>
      <c r="Z477">
        <v>0.3667328488175795</v>
      </c>
      <c r="AA477">
        <v>0.3609094851716963</v>
      </c>
      <c r="AB477">
        <v>0.33241217018623398</v>
      </c>
      <c r="AC477">
        <v>0.3359071781513564</v>
      </c>
      <c r="AD477">
        <v>4.6884604803120698E-2</v>
      </c>
      <c r="AE477">
        <v>0.36370019799325409</v>
      </c>
    </row>
    <row r="478" spans="1:31" x14ac:dyDescent="0.4">
      <c r="A478" s="1">
        <v>46028</v>
      </c>
      <c r="B478">
        <v>325.45</v>
      </c>
      <c r="D478">
        <v>233.2</v>
      </c>
      <c r="E478">
        <v>197.3</v>
      </c>
      <c r="F478">
        <v>170.55</v>
      </c>
      <c r="H478">
        <v>132.9</v>
      </c>
      <c r="I478">
        <v>124.9</v>
      </c>
      <c r="J478">
        <v>133.98099999999999</v>
      </c>
      <c r="K478">
        <v>140.94999999999999</v>
      </c>
      <c r="L478">
        <v>116.54</v>
      </c>
      <c r="M478">
        <v>106.4</v>
      </c>
      <c r="N478">
        <v>106.35</v>
      </c>
      <c r="O478">
        <v>100.5</v>
      </c>
      <c r="P478">
        <v>100.688</v>
      </c>
      <c r="Q478">
        <v>5.8269479741803E-2</v>
      </c>
      <c r="S478">
        <v>6.3663230658271494E-2</v>
      </c>
      <c r="T478">
        <v>3.5260448985607297E-2</v>
      </c>
      <c r="U478">
        <v>7.8838420777732801E-2</v>
      </c>
      <c r="W478">
        <v>6.1571825704496798E-2</v>
      </c>
      <c r="X478">
        <v>0.3572868700345696</v>
      </c>
      <c r="Y478">
        <v>0.4857265539951896</v>
      </c>
      <c r="Z478">
        <v>0.36753643185406859</v>
      </c>
      <c r="AA478">
        <v>0.36947946308781759</v>
      </c>
      <c r="AB478">
        <v>0.34689906135469001</v>
      </c>
      <c r="AC478">
        <v>0.3326716055091985</v>
      </c>
      <c r="AD478">
        <v>5.59058294349742E-2</v>
      </c>
      <c r="AE478">
        <v>0.3630641547131962</v>
      </c>
    </row>
    <row r="479" spans="1:31" x14ac:dyDescent="0.4">
      <c r="A479" s="1">
        <v>46029</v>
      </c>
      <c r="B479">
        <v>326.25</v>
      </c>
      <c r="D479">
        <v>233.6</v>
      </c>
      <c r="E479">
        <v>197.6</v>
      </c>
      <c r="F479">
        <v>171.15</v>
      </c>
      <c r="H479">
        <v>133.19999999999999</v>
      </c>
      <c r="I479">
        <v>124.9</v>
      </c>
      <c r="J479">
        <v>134.5</v>
      </c>
      <c r="K479">
        <v>141.14699999999999</v>
      </c>
      <c r="L479">
        <v>116.9</v>
      </c>
      <c r="M479">
        <v>106.8</v>
      </c>
      <c r="N479">
        <v>106.7</v>
      </c>
      <c r="O479">
        <v>101.4</v>
      </c>
      <c r="P479">
        <v>100.732</v>
      </c>
      <c r="Q479">
        <v>5.8470515700793299E-2</v>
      </c>
      <c r="S479">
        <v>6.4612276117785597E-2</v>
      </c>
      <c r="T479">
        <v>3.9609391991408997E-2</v>
      </c>
      <c r="U479">
        <v>7.8048546387218795E-2</v>
      </c>
      <c r="W479">
        <v>6.1960246138584099E-2</v>
      </c>
      <c r="X479">
        <v>0.35742239095127881</v>
      </c>
      <c r="Y479">
        <v>0.48044902891238811</v>
      </c>
      <c r="Z479">
        <v>0.3610581394607158</v>
      </c>
      <c r="AA479">
        <v>0.36182490913506549</v>
      </c>
      <c r="AB479">
        <v>0.34393508930407879</v>
      </c>
      <c r="AC479">
        <v>0.33808196941012481</v>
      </c>
      <c r="AD479">
        <v>3.8978403560905601E-2</v>
      </c>
      <c r="AE479">
        <v>0.36485377863355062</v>
      </c>
    </row>
    <row r="480" spans="1:31" x14ac:dyDescent="0.4">
      <c r="A480" s="1">
        <v>46030</v>
      </c>
      <c r="B480">
        <v>327.05</v>
      </c>
      <c r="D480">
        <v>233.55</v>
      </c>
      <c r="E480">
        <v>197.9</v>
      </c>
      <c r="F480">
        <v>171.35</v>
      </c>
      <c r="H480">
        <v>133.15</v>
      </c>
      <c r="I480">
        <v>125.1</v>
      </c>
      <c r="J480">
        <v>135.4</v>
      </c>
      <c r="K480">
        <v>141.94800000000001</v>
      </c>
      <c r="L480">
        <v>117</v>
      </c>
      <c r="M480">
        <v>106.85</v>
      </c>
      <c r="N480">
        <v>106.7</v>
      </c>
      <c r="O480">
        <v>101.35</v>
      </c>
      <c r="P480">
        <v>101.35</v>
      </c>
      <c r="Q480">
        <v>5.51833577351169E-2</v>
      </c>
      <c r="S480">
        <v>6.5944425689002398E-2</v>
      </c>
      <c r="T480">
        <v>3.6817027482668199E-2</v>
      </c>
      <c r="U480">
        <v>7.7907390168406102E-2</v>
      </c>
      <c r="W480">
        <v>6.3696907337430803E-2</v>
      </c>
      <c r="X480">
        <v>0.35756130033921979</v>
      </c>
      <c r="Y480">
        <v>0.47107489798846292</v>
      </c>
      <c r="Z480">
        <v>0.32450922752780081</v>
      </c>
      <c r="AA480">
        <v>0.3618345845985993</v>
      </c>
      <c r="AB480">
        <v>0.34429324376119202</v>
      </c>
      <c r="AC480">
        <v>0.34138003723911953</v>
      </c>
      <c r="AD480">
        <v>4.26881170170441E-2</v>
      </c>
      <c r="AE480">
        <v>0.34474601937914429</v>
      </c>
    </row>
    <row r="481" spans="1:31" x14ac:dyDescent="0.4">
      <c r="A481" s="1">
        <v>46031</v>
      </c>
      <c r="B481">
        <v>329</v>
      </c>
      <c r="D481">
        <v>234.75</v>
      </c>
      <c r="E481">
        <v>197.42099999999999</v>
      </c>
      <c r="F481">
        <v>172</v>
      </c>
      <c r="H481">
        <v>134</v>
      </c>
      <c r="I481">
        <v>125.2</v>
      </c>
      <c r="J481">
        <v>136.5</v>
      </c>
      <c r="K481">
        <v>142.35</v>
      </c>
      <c r="L481">
        <v>117.2</v>
      </c>
      <c r="M481">
        <v>107</v>
      </c>
      <c r="N481">
        <v>106.8</v>
      </c>
      <c r="O481">
        <v>101.8</v>
      </c>
      <c r="P481">
        <v>101.366</v>
      </c>
      <c r="Q481">
        <v>4.4200630569878302E-2</v>
      </c>
      <c r="S481">
        <v>6.1269689063275498E-2</v>
      </c>
      <c r="T481">
        <v>5.2230745154966798E-2</v>
      </c>
      <c r="U481">
        <v>7.5490207745954302E-2</v>
      </c>
      <c r="W481">
        <v>5.6692607723006203E-2</v>
      </c>
      <c r="X481">
        <v>0.38534951745038198</v>
      </c>
      <c r="Y481">
        <v>0.45966459531567738</v>
      </c>
      <c r="Z481">
        <v>0.30835992415432217</v>
      </c>
      <c r="AA481">
        <v>0.35886099674426269</v>
      </c>
      <c r="AB481">
        <v>0.3409076465642143</v>
      </c>
      <c r="AC481">
        <v>0.34118141091840809</v>
      </c>
      <c r="AD481">
        <v>3.32993186822403E-2</v>
      </c>
      <c r="AE481">
        <v>0.34803473959689568</v>
      </c>
    </row>
    <row r="482" spans="1:31" x14ac:dyDescent="0.4">
      <c r="A482" s="1">
        <v>46034</v>
      </c>
      <c r="B482">
        <v>330.29</v>
      </c>
      <c r="D482">
        <v>234.75</v>
      </c>
      <c r="E482">
        <v>197.904</v>
      </c>
      <c r="F482">
        <v>172.4</v>
      </c>
      <c r="H482">
        <v>133.85</v>
      </c>
      <c r="I482">
        <v>125.47499999999999</v>
      </c>
      <c r="J482">
        <v>136.35</v>
      </c>
      <c r="K482">
        <v>142.1</v>
      </c>
      <c r="L482">
        <v>117.15</v>
      </c>
      <c r="M482">
        <v>106.7</v>
      </c>
      <c r="N482">
        <v>106.9</v>
      </c>
      <c r="O482">
        <v>101.679</v>
      </c>
      <c r="P482">
        <v>101.1</v>
      </c>
      <c r="Q482">
        <v>3.9850462248682203E-2</v>
      </c>
      <c r="S482">
        <v>6.3640204372945194E-2</v>
      </c>
      <c r="T482">
        <v>3.3284018633589797E-2</v>
      </c>
      <c r="U482">
        <v>7.5382417044942501E-2</v>
      </c>
      <c r="W482">
        <v>6.0848178606137698E-2</v>
      </c>
      <c r="X482">
        <v>0.35584959228626978</v>
      </c>
      <c r="Y482">
        <v>0.46573224215963449</v>
      </c>
      <c r="Z482">
        <v>0.33689741490541619</v>
      </c>
      <c r="AA482">
        <v>0.36955110889149501</v>
      </c>
      <c r="AB482">
        <v>0.3491026588118859</v>
      </c>
      <c r="AC482">
        <v>0.34368974268942531</v>
      </c>
      <c r="AD482">
        <v>4.1628738644201899E-2</v>
      </c>
      <c r="AE482">
        <v>0.37442573845471949</v>
      </c>
    </row>
    <row r="483" spans="1:31" x14ac:dyDescent="0.4">
      <c r="A483" s="1">
        <v>46035</v>
      </c>
      <c r="B483">
        <v>328.2</v>
      </c>
      <c r="D483">
        <v>234.8</v>
      </c>
      <c r="E483">
        <v>198.4</v>
      </c>
      <c r="F483">
        <v>172.2</v>
      </c>
      <c r="H483">
        <v>133.69999999999999</v>
      </c>
      <c r="I483">
        <v>124.4</v>
      </c>
      <c r="J483">
        <v>135.6</v>
      </c>
      <c r="K483">
        <v>142.1</v>
      </c>
      <c r="L483">
        <v>116.55</v>
      </c>
      <c r="M483">
        <v>106.15</v>
      </c>
      <c r="N483">
        <v>106.45</v>
      </c>
      <c r="O483">
        <v>101.65</v>
      </c>
      <c r="P483">
        <v>100.669</v>
      </c>
      <c r="Q483">
        <v>5.9749649281981898E-2</v>
      </c>
      <c r="S483">
        <v>6.6319409394137205E-2</v>
      </c>
      <c r="T483">
        <v>5.0273037959274201E-2</v>
      </c>
      <c r="U483">
        <v>7.8673956244734097E-2</v>
      </c>
      <c r="W483">
        <v>6.5698862223375301E-2</v>
      </c>
      <c r="X483">
        <v>0.38654067594104752</v>
      </c>
      <c r="Y483">
        <v>0.47550059962876839</v>
      </c>
      <c r="Z483">
        <v>0.34139785232972591</v>
      </c>
      <c r="AA483">
        <v>0.3915072606984592</v>
      </c>
      <c r="AB483">
        <v>0.35529040514600951</v>
      </c>
      <c r="AC483">
        <v>0.3434989219669084</v>
      </c>
      <c r="AD483">
        <v>4.9344819300838602E-2</v>
      </c>
      <c r="AE483">
        <v>0.40183353801081112</v>
      </c>
    </row>
    <row r="484" spans="1:31" x14ac:dyDescent="0.4">
      <c r="A484" s="1">
        <v>46036</v>
      </c>
      <c r="B484">
        <v>328.75</v>
      </c>
      <c r="D484">
        <v>235</v>
      </c>
      <c r="E484">
        <v>198.15</v>
      </c>
      <c r="F484">
        <v>173</v>
      </c>
      <c r="H484">
        <v>134</v>
      </c>
      <c r="I484">
        <v>124.75</v>
      </c>
      <c r="J484">
        <v>136.25</v>
      </c>
      <c r="K484">
        <v>142.19999999999999</v>
      </c>
      <c r="L484">
        <v>116.67100000000001</v>
      </c>
      <c r="M484">
        <v>106.7</v>
      </c>
      <c r="N484">
        <v>106.77</v>
      </c>
      <c r="O484">
        <v>101.8</v>
      </c>
      <c r="P484">
        <v>101.125</v>
      </c>
      <c r="Q484">
        <v>5.8113694525445597E-2</v>
      </c>
      <c r="S484">
        <v>6.6460912703732597E-2</v>
      </c>
      <c r="T484">
        <v>6.12433527210876E-2</v>
      </c>
      <c r="U484">
        <v>7.5483959630094299E-2</v>
      </c>
      <c r="W484">
        <v>6.4016866184568894E-2</v>
      </c>
      <c r="X484">
        <v>0.38086809549753009</v>
      </c>
      <c r="Y484">
        <v>0.46927483725131391</v>
      </c>
      <c r="Z484">
        <v>0.34117604361408588</v>
      </c>
      <c r="AA484">
        <v>0.3910624228245318</v>
      </c>
      <c r="AB484">
        <v>0.35081914202985293</v>
      </c>
      <c r="AC484">
        <v>0.34848207118833902</v>
      </c>
      <c r="AD484">
        <v>4.78230202347565E-2</v>
      </c>
      <c r="AE484">
        <v>0.38253447208772429</v>
      </c>
    </row>
    <row r="485" spans="1:31" x14ac:dyDescent="0.4">
      <c r="A485" s="1">
        <v>46037</v>
      </c>
      <c r="B485">
        <v>328.15</v>
      </c>
      <c r="D485">
        <v>234.2</v>
      </c>
      <c r="E485">
        <v>198.15</v>
      </c>
      <c r="F485">
        <v>171.75</v>
      </c>
      <c r="H485">
        <v>133.25</v>
      </c>
      <c r="I485">
        <v>124.3</v>
      </c>
      <c r="J485">
        <v>135.44999999999999</v>
      </c>
      <c r="K485">
        <v>144.143</v>
      </c>
      <c r="L485">
        <v>116.29</v>
      </c>
      <c r="M485">
        <v>106.75</v>
      </c>
      <c r="N485">
        <v>106.5</v>
      </c>
      <c r="O485">
        <v>101.4</v>
      </c>
      <c r="P485">
        <v>100.524</v>
      </c>
      <c r="Q485">
        <v>6.4512723986913004E-2</v>
      </c>
      <c r="S485">
        <v>7.1513696475965796E-2</v>
      </c>
      <c r="T485">
        <v>6.6153291999974495E-2</v>
      </c>
      <c r="U485">
        <v>8.2768333894458507E-2</v>
      </c>
      <c r="W485">
        <v>7.2806690197369003E-2</v>
      </c>
      <c r="X485">
        <v>0.3539609667745931</v>
      </c>
      <c r="Y485">
        <v>0.48002216844283729</v>
      </c>
      <c r="Z485">
        <v>0.2414790498424268</v>
      </c>
      <c r="AA485">
        <v>0.40680133654789108</v>
      </c>
      <c r="AB485">
        <v>0.35119872785591971</v>
      </c>
      <c r="AC485">
        <v>0.35416184103332971</v>
      </c>
      <c r="AD485">
        <v>6.1603299284865701E-2</v>
      </c>
      <c r="AE485">
        <v>0.41932375957799167</v>
      </c>
    </row>
    <row r="486" spans="1:31" x14ac:dyDescent="0.4">
      <c r="A486" s="1">
        <v>46038</v>
      </c>
      <c r="B486">
        <v>328.4</v>
      </c>
      <c r="D486">
        <v>234</v>
      </c>
      <c r="E486">
        <v>198.65</v>
      </c>
      <c r="F486">
        <v>171.4</v>
      </c>
      <c r="H486">
        <v>133.4</v>
      </c>
      <c r="I486">
        <v>124.45</v>
      </c>
      <c r="J486">
        <v>136.1</v>
      </c>
      <c r="K486">
        <v>142.55000000000001</v>
      </c>
      <c r="L486">
        <v>116.86</v>
      </c>
      <c r="M486">
        <v>106.95</v>
      </c>
      <c r="N486">
        <v>106.5</v>
      </c>
      <c r="O486">
        <v>101.64</v>
      </c>
      <c r="P486">
        <v>101.354</v>
      </c>
      <c r="Q486">
        <v>4.7269740568264801E-2</v>
      </c>
      <c r="S486">
        <v>7.4575380638236904E-2</v>
      </c>
      <c r="T486">
        <v>6.2274731118455301E-2</v>
      </c>
      <c r="U486">
        <v>8.6195689089004698E-2</v>
      </c>
      <c r="W486">
        <v>7.3699542401443094E-2</v>
      </c>
      <c r="X486">
        <v>0.39358170248954089</v>
      </c>
      <c r="Y486">
        <v>0.4738910881747293</v>
      </c>
      <c r="Z486">
        <v>0.33276814403417931</v>
      </c>
      <c r="AA486">
        <v>0.3918724983787904</v>
      </c>
      <c r="AB486">
        <v>0.35012496647147201</v>
      </c>
      <c r="AC486">
        <v>0.35559311409058858</v>
      </c>
      <c r="AD486">
        <v>6.2580792981812197E-2</v>
      </c>
      <c r="AE486">
        <v>0.38000765385325991</v>
      </c>
    </row>
    <row r="487" spans="1:31" x14ac:dyDescent="0.4">
      <c r="A487" s="1">
        <v>46041</v>
      </c>
      <c r="B487">
        <v>327</v>
      </c>
      <c r="D487">
        <v>233.45</v>
      </c>
      <c r="E487">
        <v>198.5</v>
      </c>
      <c r="F487">
        <v>170.55</v>
      </c>
      <c r="H487">
        <v>132.5</v>
      </c>
      <c r="I487">
        <v>124.5</v>
      </c>
      <c r="J487">
        <v>136.4</v>
      </c>
      <c r="K487">
        <v>142.75</v>
      </c>
      <c r="L487">
        <v>116.54900000000001</v>
      </c>
      <c r="M487">
        <v>106.85</v>
      </c>
      <c r="N487">
        <v>106.59399999999999</v>
      </c>
      <c r="O487">
        <v>101.7</v>
      </c>
      <c r="P487">
        <v>101</v>
      </c>
      <c r="Q487">
        <v>8.4059331209436303E-2</v>
      </c>
      <c r="S487">
        <v>8.0856111742268602E-2</v>
      </c>
      <c r="T487">
        <v>7.1119601285344197E-2</v>
      </c>
      <c r="U487">
        <v>9.3439555129684895E-2</v>
      </c>
      <c r="W487">
        <v>8.7054219357958401E-2</v>
      </c>
      <c r="X487">
        <v>0.38849957153888293</v>
      </c>
      <c r="Y487">
        <v>0.47554928499164789</v>
      </c>
      <c r="Z487">
        <v>0.34129269468334611</v>
      </c>
      <c r="AA487">
        <v>0.41292204842346453</v>
      </c>
      <c r="AB487">
        <v>0.35371467360920172</v>
      </c>
      <c r="AC487">
        <v>0.35843668477286977</v>
      </c>
      <c r="AD487">
        <v>6.6591201537528594E-2</v>
      </c>
      <c r="AE487">
        <v>0.41535830545635899</v>
      </c>
    </row>
    <row r="488" spans="1:31" x14ac:dyDescent="0.4">
      <c r="A488" s="1">
        <v>46042</v>
      </c>
      <c r="B488">
        <v>327.5</v>
      </c>
      <c r="D488">
        <v>232.6</v>
      </c>
      <c r="E488">
        <v>198.7</v>
      </c>
      <c r="F488">
        <v>169.95</v>
      </c>
      <c r="H488">
        <v>132.80000000000001</v>
      </c>
      <c r="I488">
        <v>125.01300000000001</v>
      </c>
      <c r="J488">
        <v>136.5</v>
      </c>
      <c r="K488">
        <v>143.19999999999999</v>
      </c>
      <c r="L488">
        <v>118.066</v>
      </c>
      <c r="M488">
        <v>106.6</v>
      </c>
      <c r="N488">
        <v>106.8</v>
      </c>
      <c r="O488">
        <v>101.25</v>
      </c>
      <c r="P488">
        <v>101.265</v>
      </c>
      <c r="Q488">
        <v>8.2830713107346104E-2</v>
      </c>
      <c r="S488">
        <v>8.6381804255639294E-2</v>
      </c>
      <c r="T488">
        <v>8.2157053818021394E-2</v>
      </c>
      <c r="U488">
        <v>9.7581852413174006E-2</v>
      </c>
      <c r="W488">
        <v>8.5350269395765996E-2</v>
      </c>
      <c r="X488">
        <v>0.40134028944735978</v>
      </c>
      <c r="Y488">
        <v>0.4758700483916582</v>
      </c>
      <c r="Z488">
        <v>0.35077431532338038</v>
      </c>
      <c r="AA488">
        <v>0.36649648440939819</v>
      </c>
      <c r="AB488">
        <v>0.35705545310852921</v>
      </c>
      <c r="AC488">
        <v>0.3565720687720535</v>
      </c>
      <c r="AD488">
        <v>8.2817056458303506E-2</v>
      </c>
      <c r="AE488">
        <v>0.40569647773581968</v>
      </c>
    </row>
    <row r="489" spans="1:31" x14ac:dyDescent="0.4">
      <c r="A489" s="1">
        <v>46043</v>
      </c>
      <c r="B489">
        <v>326.95</v>
      </c>
      <c r="D489">
        <v>232.28200000000001</v>
      </c>
      <c r="E489">
        <v>198.9</v>
      </c>
      <c r="F489">
        <v>169.6</v>
      </c>
      <c r="H489">
        <v>132.75</v>
      </c>
      <c r="I489">
        <v>125.745</v>
      </c>
      <c r="J489">
        <v>136.35</v>
      </c>
      <c r="K489">
        <v>143.4</v>
      </c>
      <c r="L489">
        <v>116.7</v>
      </c>
      <c r="M489">
        <v>106.25</v>
      </c>
      <c r="N489">
        <v>106.2</v>
      </c>
      <c r="O489">
        <v>101.39</v>
      </c>
      <c r="P489">
        <v>101.38</v>
      </c>
      <c r="Q489">
        <v>8.9424981956946606E-2</v>
      </c>
      <c r="S489">
        <v>8.9241014756386502E-2</v>
      </c>
      <c r="T489">
        <v>8.2212514579322896E-2</v>
      </c>
      <c r="U489">
        <v>0.1004231048931839</v>
      </c>
      <c r="W489">
        <v>8.7292640051399195E-2</v>
      </c>
      <c r="X489">
        <v>0.37569123257643411</v>
      </c>
      <c r="Y489">
        <v>0.47918240941443191</v>
      </c>
      <c r="Z489">
        <v>0.30486407705251711</v>
      </c>
      <c r="AA489">
        <v>0.4154101900004159</v>
      </c>
      <c r="AB489">
        <v>0.36141804467178351</v>
      </c>
      <c r="AC489">
        <v>0.36784226585973728</v>
      </c>
      <c r="AD489">
        <v>8.4142645389106194E-2</v>
      </c>
      <c r="AE489">
        <v>0.40458439958911369</v>
      </c>
    </row>
    <row r="490" spans="1:31" x14ac:dyDescent="0.4">
      <c r="A490" s="1">
        <v>46044</v>
      </c>
      <c r="B490">
        <v>328.3</v>
      </c>
      <c r="D490">
        <v>233.55</v>
      </c>
      <c r="E490">
        <v>199.4</v>
      </c>
      <c r="F490">
        <v>170.85</v>
      </c>
      <c r="H490">
        <v>133.25</v>
      </c>
      <c r="I490">
        <v>125.1</v>
      </c>
      <c r="J490">
        <v>137.15</v>
      </c>
      <c r="K490">
        <v>143.999</v>
      </c>
      <c r="L490">
        <v>117.4</v>
      </c>
      <c r="M490">
        <v>106.65</v>
      </c>
      <c r="N490">
        <v>106.2</v>
      </c>
      <c r="O490">
        <v>101.75</v>
      </c>
      <c r="P490">
        <v>101.745</v>
      </c>
      <c r="Q490">
        <v>8.1839227164158396E-2</v>
      </c>
      <c r="S490">
        <v>8.3965453541539198E-2</v>
      </c>
      <c r="T490">
        <v>7.3682801911903406E-2</v>
      </c>
      <c r="U490">
        <v>9.4691677766852E-2</v>
      </c>
      <c r="W490">
        <v>8.34959218184122E-2</v>
      </c>
      <c r="X490">
        <v>0.39459775069456199</v>
      </c>
      <c r="Y490">
        <v>0.47136442870993761</v>
      </c>
      <c r="Z490">
        <v>0.28363871805789709</v>
      </c>
      <c r="AA490">
        <v>0.39543017527557789</v>
      </c>
      <c r="AB490">
        <v>0.3583510436579998</v>
      </c>
      <c r="AC490">
        <v>0.36936786832569751</v>
      </c>
      <c r="AD490">
        <v>7.3979634037344699E-2</v>
      </c>
      <c r="AE490">
        <v>0.38890741335098039</v>
      </c>
    </row>
    <row r="491" spans="1:31" x14ac:dyDescent="0.4">
      <c r="A491" s="1">
        <v>46045</v>
      </c>
      <c r="B491">
        <v>330.2</v>
      </c>
      <c r="D491">
        <v>234.4</v>
      </c>
      <c r="E491">
        <v>200.76599999999999</v>
      </c>
      <c r="F491">
        <v>171.55</v>
      </c>
      <c r="H491">
        <v>133.75</v>
      </c>
      <c r="I491">
        <v>125.8</v>
      </c>
      <c r="J491">
        <v>137.30000000000001</v>
      </c>
      <c r="K491">
        <v>144.4</v>
      </c>
      <c r="L491">
        <v>117.85</v>
      </c>
      <c r="M491">
        <v>106.069</v>
      </c>
      <c r="N491">
        <v>106.839</v>
      </c>
      <c r="O491">
        <v>101.765</v>
      </c>
      <c r="P491">
        <v>102.12</v>
      </c>
      <c r="Q491">
        <v>7.0180034505887501E-2</v>
      </c>
      <c r="S491">
        <v>8.0842903865369298E-2</v>
      </c>
      <c r="T491">
        <v>4.0552884146259897E-2</v>
      </c>
      <c r="U491">
        <v>9.2186392295231595E-2</v>
      </c>
      <c r="W491">
        <v>7.9705030045553696E-2</v>
      </c>
      <c r="X491">
        <v>0.36254484150061228</v>
      </c>
      <c r="Y491">
        <v>0.47137529521054028</v>
      </c>
      <c r="Z491">
        <v>0.26536571644675871</v>
      </c>
      <c r="AA491">
        <v>0.4128353242355261</v>
      </c>
      <c r="AB491">
        <v>0.36504993161646793</v>
      </c>
      <c r="AC491">
        <v>0.36037310297450648</v>
      </c>
      <c r="AD491">
        <v>7.6582979371967799E-2</v>
      </c>
      <c r="AE491">
        <v>0.37369062222719851</v>
      </c>
    </row>
    <row r="492" spans="1:31" x14ac:dyDescent="0.4">
      <c r="A492" s="1">
        <v>46048</v>
      </c>
      <c r="B492">
        <v>331.5</v>
      </c>
      <c r="D492">
        <v>234.7</v>
      </c>
      <c r="E492">
        <v>201.22900000000001</v>
      </c>
      <c r="F492">
        <v>171.7</v>
      </c>
      <c r="H492">
        <v>134.1</v>
      </c>
      <c r="I492">
        <v>126.4</v>
      </c>
      <c r="J492">
        <v>136.94999999999999</v>
      </c>
      <c r="K492">
        <v>144.4</v>
      </c>
      <c r="L492">
        <v>118</v>
      </c>
      <c r="M492">
        <v>107.3</v>
      </c>
      <c r="N492">
        <v>107</v>
      </c>
      <c r="O492">
        <v>102.6</v>
      </c>
      <c r="P492">
        <v>102.2</v>
      </c>
      <c r="Q492">
        <v>6.7760709402668096E-2</v>
      </c>
      <c r="S492">
        <v>8.2963252731748996E-2</v>
      </c>
      <c r="T492">
        <v>6.4510177375846897E-2</v>
      </c>
      <c r="U492">
        <v>9.3983288195270201E-2</v>
      </c>
      <c r="W492">
        <v>8.0287903686233397E-2</v>
      </c>
      <c r="X492">
        <v>0.3732475597645486</v>
      </c>
      <c r="Y492">
        <v>0.4748824394092499</v>
      </c>
      <c r="Z492">
        <v>0.2837862593160323</v>
      </c>
      <c r="AA492">
        <v>0.3897424621576529</v>
      </c>
      <c r="AB492">
        <v>0.35550608369486719</v>
      </c>
      <c r="AC492">
        <v>0.36224643608356638</v>
      </c>
      <c r="AD492">
        <v>6.04238965896048E-2</v>
      </c>
      <c r="AE492">
        <v>0.3839052565861969</v>
      </c>
    </row>
    <row r="493" spans="1:31" x14ac:dyDescent="0.4">
      <c r="A493" s="1">
        <v>46049</v>
      </c>
      <c r="B493">
        <v>331.6</v>
      </c>
      <c r="D493">
        <v>235.8</v>
      </c>
      <c r="E493">
        <v>201.45</v>
      </c>
      <c r="F493">
        <v>172.8</v>
      </c>
      <c r="H493">
        <v>134.5</v>
      </c>
      <c r="I493">
        <v>126.21</v>
      </c>
      <c r="J493">
        <v>137</v>
      </c>
      <c r="K493">
        <v>144.85</v>
      </c>
      <c r="L493">
        <v>118.59</v>
      </c>
      <c r="M493">
        <v>108.5</v>
      </c>
      <c r="N493">
        <v>107.2</v>
      </c>
      <c r="O493">
        <v>102.7</v>
      </c>
      <c r="P493">
        <v>102.5</v>
      </c>
      <c r="Q493">
        <v>6.9451991434259605E-2</v>
      </c>
      <c r="S493">
        <v>7.8543364742576893E-2</v>
      </c>
      <c r="T493">
        <v>4.2996503526568997E-3</v>
      </c>
      <c r="U493">
        <v>8.9080549484699498E-2</v>
      </c>
      <c r="W493">
        <v>7.75193187338718E-2</v>
      </c>
      <c r="X493">
        <v>0.38092636254006029</v>
      </c>
      <c r="Y493">
        <v>0.48185514267799379</v>
      </c>
      <c r="Z493">
        <v>0.25992176485946261</v>
      </c>
      <c r="AA493">
        <v>0.37313824167243209</v>
      </c>
      <c r="AB493">
        <v>0.34460085462220452</v>
      </c>
      <c r="AC493">
        <v>0.36045530318187941</v>
      </c>
      <c r="AD493">
        <v>6.03779633225454E-2</v>
      </c>
      <c r="AE493">
        <v>0.3713295209068076</v>
      </c>
    </row>
    <row r="494" spans="1:31" x14ac:dyDescent="0.4">
      <c r="A494" s="1">
        <v>46050</v>
      </c>
      <c r="B494">
        <v>333.6</v>
      </c>
      <c r="D494">
        <v>235.8</v>
      </c>
      <c r="E494">
        <v>201.75</v>
      </c>
      <c r="F494">
        <v>172.75</v>
      </c>
      <c r="H494">
        <v>134.65</v>
      </c>
      <c r="I494">
        <v>126.95</v>
      </c>
      <c r="J494">
        <v>136.11000000000001</v>
      </c>
      <c r="K494">
        <v>144.4</v>
      </c>
      <c r="L494">
        <v>118.979</v>
      </c>
      <c r="M494">
        <v>107.06399999999999</v>
      </c>
      <c r="N494">
        <v>107.25</v>
      </c>
      <c r="O494">
        <v>102.75</v>
      </c>
      <c r="P494">
        <v>102.6</v>
      </c>
      <c r="Q494">
        <v>6.7408953510114999E-2</v>
      </c>
      <c r="S494">
        <v>7.8023298765982296E-2</v>
      </c>
      <c r="T494">
        <v>3.8413448515742799E-2</v>
      </c>
      <c r="U494">
        <v>9.0295968932203999E-2</v>
      </c>
      <c r="W494">
        <v>8.4209644388533594E-2</v>
      </c>
      <c r="X494">
        <v>0.37255693366852488</v>
      </c>
      <c r="Y494">
        <v>0.4823303198181248</v>
      </c>
      <c r="Z494">
        <v>0.29538032554585181</v>
      </c>
      <c r="AA494">
        <v>0.36339257004396869</v>
      </c>
      <c r="AB494">
        <v>0.33242973951682131</v>
      </c>
      <c r="AC494">
        <v>0.36114781816775382</v>
      </c>
      <c r="AD494">
        <v>5.7271400257994001E-2</v>
      </c>
      <c r="AE494">
        <v>0.37071746176382808</v>
      </c>
    </row>
    <row r="495" spans="1:31" x14ac:dyDescent="0.4">
      <c r="A495" s="1">
        <v>46051</v>
      </c>
      <c r="B495">
        <v>331.35</v>
      </c>
      <c r="D495">
        <v>235.5</v>
      </c>
      <c r="E495">
        <v>201.8</v>
      </c>
      <c r="F495">
        <v>172.75</v>
      </c>
      <c r="H495">
        <v>134.5</v>
      </c>
      <c r="I495">
        <v>126.55</v>
      </c>
      <c r="J495">
        <v>136.57599999999999</v>
      </c>
      <c r="K495">
        <v>144.35</v>
      </c>
      <c r="L495">
        <v>118.5</v>
      </c>
      <c r="M495">
        <v>108.71</v>
      </c>
      <c r="N495">
        <v>107.85</v>
      </c>
      <c r="O495">
        <v>102.75</v>
      </c>
      <c r="P495">
        <v>102.65</v>
      </c>
      <c r="Q495">
        <v>7.6364547946637606E-2</v>
      </c>
      <c r="S495">
        <v>8.2538104101349194E-2</v>
      </c>
      <c r="T495">
        <v>4.24256879138716E-2</v>
      </c>
      <c r="U495">
        <v>9.1251553542984198E-2</v>
      </c>
      <c r="W495">
        <v>8.0365633429719502E-2</v>
      </c>
      <c r="X495">
        <v>0.37799501732684188</v>
      </c>
      <c r="Y495">
        <v>0.49069145565499978</v>
      </c>
      <c r="Z495">
        <v>0.3041271410544179</v>
      </c>
      <c r="AA495">
        <v>0.38356209792815588</v>
      </c>
      <c r="AB495">
        <v>0.3473286302416464</v>
      </c>
      <c r="AC495">
        <v>0.35272866203193909</v>
      </c>
      <c r="AD495">
        <v>6.4943248538315304E-2</v>
      </c>
      <c r="AE495">
        <v>0.37317884928561718</v>
      </c>
    </row>
    <row r="496" spans="1:31" x14ac:dyDescent="0.4">
      <c r="A496" s="1">
        <v>46052</v>
      </c>
      <c r="B496">
        <v>332.4</v>
      </c>
      <c r="D496">
        <v>236.05</v>
      </c>
      <c r="E496">
        <v>202.5</v>
      </c>
      <c r="F496">
        <v>172.9</v>
      </c>
      <c r="H496">
        <v>134.75</v>
      </c>
      <c r="I496">
        <v>127.1</v>
      </c>
      <c r="J496">
        <v>137.30000000000001</v>
      </c>
      <c r="K496">
        <v>144.608</v>
      </c>
      <c r="L496">
        <v>119.05</v>
      </c>
      <c r="M496">
        <v>108.974</v>
      </c>
      <c r="N496">
        <v>108.27</v>
      </c>
      <c r="O496">
        <v>103.10299999999999</v>
      </c>
      <c r="P496">
        <v>103.4</v>
      </c>
      <c r="Q496">
        <v>7.1837801541878701E-2</v>
      </c>
      <c r="S496">
        <v>8.1046711309867195E-2</v>
      </c>
      <c r="T496">
        <v>2.71737465302141E-2</v>
      </c>
      <c r="U496">
        <v>9.1496952764223496E-2</v>
      </c>
      <c r="W496">
        <v>7.9295564613168501E-2</v>
      </c>
      <c r="X496">
        <v>0.36672012470044762</v>
      </c>
      <c r="Y496">
        <v>0.48208266065205702</v>
      </c>
      <c r="Z496">
        <v>0.29076428674761851</v>
      </c>
      <c r="AA496">
        <v>0.36804275968312478</v>
      </c>
      <c r="AB496">
        <v>0.34258988574713689</v>
      </c>
      <c r="AC496">
        <v>0.34730338204085759</v>
      </c>
      <c r="AD496">
        <v>5.7354240270931202E-2</v>
      </c>
      <c r="AE496">
        <v>0.33270593744660798</v>
      </c>
    </row>
    <row r="497" spans="1:31" x14ac:dyDescent="0.4">
      <c r="A497" s="1">
        <v>46055</v>
      </c>
      <c r="B497">
        <v>332.8</v>
      </c>
      <c r="D497">
        <v>235.55</v>
      </c>
      <c r="E497">
        <v>202.55</v>
      </c>
      <c r="F497">
        <v>172.5</v>
      </c>
      <c r="H497">
        <v>134.55000000000001</v>
      </c>
      <c r="I497">
        <v>127.1</v>
      </c>
      <c r="J497">
        <v>137.30000000000001</v>
      </c>
      <c r="K497">
        <v>145.19999999999999</v>
      </c>
      <c r="L497">
        <v>119.1</v>
      </c>
      <c r="M497">
        <v>108.25</v>
      </c>
      <c r="N497">
        <v>108.2</v>
      </c>
      <c r="O497">
        <v>103.11</v>
      </c>
      <c r="P497">
        <v>102.82</v>
      </c>
      <c r="Q497">
        <v>7.6402289112453697E-2</v>
      </c>
      <c r="S497">
        <v>8.7770108041455103E-2</v>
      </c>
      <c r="T497">
        <v>4.4503323639492699E-2</v>
      </c>
      <c r="U497">
        <v>9.6834353125513195E-2</v>
      </c>
      <c r="W497">
        <v>8.6216043947943896E-2</v>
      </c>
      <c r="X497">
        <v>0.37540263274973978</v>
      </c>
      <c r="Y497">
        <v>0.48762898967241441</v>
      </c>
      <c r="Z497">
        <v>0.26927674083482223</v>
      </c>
      <c r="AA497">
        <v>0.37737926489416318</v>
      </c>
      <c r="AB497">
        <v>0.35088793207862817</v>
      </c>
      <c r="AC497">
        <v>0.35293959115245183</v>
      </c>
      <c r="AD497">
        <v>6.7474074440249804E-2</v>
      </c>
      <c r="AE497">
        <v>0.38572068253282482</v>
      </c>
    </row>
    <row r="498" spans="1:31" x14ac:dyDescent="0.4">
      <c r="A498" s="1">
        <v>46056</v>
      </c>
      <c r="B498">
        <v>333.55</v>
      </c>
      <c r="D498">
        <v>236</v>
      </c>
      <c r="E498">
        <v>202.4</v>
      </c>
      <c r="F498">
        <v>172.8</v>
      </c>
      <c r="H498">
        <v>135</v>
      </c>
      <c r="I498">
        <v>127.1</v>
      </c>
      <c r="J498">
        <v>137.65</v>
      </c>
      <c r="K498">
        <v>145.44999999999999</v>
      </c>
      <c r="L498">
        <v>119.2</v>
      </c>
      <c r="M498">
        <v>107.85599999999999</v>
      </c>
      <c r="N498">
        <v>107.9</v>
      </c>
      <c r="O498">
        <v>103.78</v>
      </c>
      <c r="P498">
        <v>103.063</v>
      </c>
      <c r="Q498">
        <v>7.3359948018736396E-2</v>
      </c>
      <c r="S498">
        <v>8.6795785691360705E-2</v>
      </c>
      <c r="T498">
        <v>5.96992140991515E-2</v>
      </c>
      <c r="U498">
        <v>9.6281066240446703E-2</v>
      </c>
      <c r="W498">
        <v>8.29960483037228E-2</v>
      </c>
      <c r="X498">
        <v>0.38104771833061901</v>
      </c>
      <c r="Y498">
        <v>0.48517832488870261</v>
      </c>
      <c r="Z498">
        <v>0.24245946471894669</v>
      </c>
      <c r="AA498">
        <v>0.37759537987410341</v>
      </c>
      <c r="AB498">
        <v>0.3572287344748028</v>
      </c>
      <c r="AC498">
        <v>0.35950297137101578</v>
      </c>
      <c r="AD498">
        <v>4.95653190329058E-2</v>
      </c>
      <c r="AE498">
        <v>0.37581733733789657</v>
      </c>
    </row>
    <row r="499" spans="1:31" x14ac:dyDescent="0.4">
      <c r="A499" s="1">
        <v>46057</v>
      </c>
      <c r="B499">
        <v>335.7</v>
      </c>
      <c r="D499">
        <v>236.95</v>
      </c>
      <c r="E499">
        <v>203.3</v>
      </c>
      <c r="F499">
        <v>174.25</v>
      </c>
      <c r="H499">
        <v>135.44999999999999</v>
      </c>
      <c r="I499">
        <v>127.7</v>
      </c>
      <c r="J499">
        <v>138.30000000000001</v>
      </c>
      <c r="K499">
        <v>145.715</v>
      </c>
      <c r="L499">
        <v>119.75</v>
      </c>
      <c r="M499">
        <v>108.75</v>
      </c>
      <c r="N499">
        <v>108.155</v>
      </c>
      <c r="O499">
        <v>104.05</v>
      </c>
      <c r="P499">
        <v>103.28</v>
      </c>
      <c r="Q499">
        <v>5.9325627468061297E-2</v>
      </c>
      <c r="S499">
        <v>8.3194166708010997E-2</v>
      </c>
      <c r="T499">
        <v>3.3131693412088901E-2</v>
      </c>
      <c r="U499">
        <v>8.9526905423511799E-2</v>
      </c>
      <c r="W499">
        <v>7.9777791347840493E-2</v>
      </c>
      <c r="X499">
        <v>0.36547209733194158</v>
      </c>
      <c r="Y499">
        <v>0.47850718219196658</v>
      </c>
      <c r="Z499">
        <v>0.24209696767316169</v>
      </c>
      <c r="AA499">
        <v>0.36153424613371521</v>
      </c>
      <c r="AB499">
        <v>0.34921097604710422</v>
      </c>
      <c r="AC499">
        <v>0.35675294135815733</v>
      </c>
      <c r="AD499">
        <v>4.4364375309427002E-2</v>
      </c>
      <c r="AE499">
        <v>0.36747056392074468</v>
      </c>
    </row>
    <row r="500" spans="1:31" x14ac:dyDescent="0.4">
      <c r="A500" s="1">
        <v>46058</v>
      </c>
      <c r="B500">
        <v>336.7</v>
      </c>
      <c r="D500">
        <v>239.6</v>
      </c>
      <c r="E500">
        <v>203.55</v>
      </c>
      <c r="F500">
        <v>175.2</v>
      </c>
      <c r="H500">
        <v>136.30000000000001</v>
      </c>
      <c r="I500">
        <v>127.25</v>
      </c>
      <c r="J500">
        <v>138.44999999999999</v>
      </c>
      <c r="K500">
        <v>145.85</v>
      </c>
      <c r="L500">
        <v>119.55</v>
      </c>
      <c r="M500">
        <v>108.25</v>
      </c>
      <c r="N500">
        <v>107.899</v>
      </c>
      <c r="O500">
        <v>104.3</v>
      </c>
      <c r="P500">
        <v>103.57</v>
      </c>
      <c r="Q500">
        <v>5.4278734536298098E-2</v>
      </c>
      <c r="S500">
        <v>7.07960874058884E-2</v>
      </c>
      <c r="T500">
        <v>3.1427732184693302E-2</v>
      </c>
      <c r="U500">
        <v>8.5501470911652902E-2</v>
      </c>
      <c r="W500">
        <v>7.2303450896353205E-2</v>
      </c>
      <c r="X500">
        <v>0.38018536022673433</v>
      </c>
      <c r="Y500">
        <v>0.4785109090616943</v>
      </c>
      <c r="Z500">
        <v>0.23838984102097599</v>
      </c>
      <c r="AA500">
        <v>0.37254754521861089</v>
      </c>
      <c r="AB500">
        <v>0.35510900144528312</v>
      </c>
      <c r="AC500">
        <v>0.36536327269755098</v>
      </c>
      <c r="AD500">
        <v>3.9755061367750998E-2</v>
      </c>
      <c r="AE500">
        <v>0.35412212030441609</v>
      </c>
    </row>
    <row r="501" spans="1:31" x14ac:dyDescent="0.4">
      <c r="A501" s="1">
        <v>46059</v>
      </c>
      <c r="B501">
        <v>338</v>
      </c>
      <c r="D501">
        <v>239.95</v>
      </c>
      <c r="E501">
        <v>204.25</v>
      </c>
      <c r="F501">
        <v>176</v>
      </c>
      <c r="H501">
        <v>137.25</v>
      </c>
      <c r="I501">
        <v>127.75</v>
      </c>
      <c r="J501">
        <v>138.80000000000001</v>
      </c>
      <c r="K501">
        <v>146.25</v>
      </c>
      <c r="L501">
        <v>119.84</v>
      </c>
      <c r="M501">
        <v>108.85</v>
      </c>
      <c r="N501">
        <v>108.2</v>
      </c>
      <c r="O501">
        <v>104.7</v>
      </c>
      <c r="P501">
        <v>103.627</v>
      </c>
      <c r="Q501">
        <v>4.6882852687358999E-2</v>
      </c>
      <c r="S501">
        <v>7.0328066147625504E-2</v>
      </c>
      <c r="T501">
        <v>1.4361901726476599E-2</v>
      </c>
      <c r="U501">
        <v>8.2292931067119907E-2</v>
      </c>
      <c r="W501">
        <v>6.3831369190880297E-2</v>
      </c>
      <c r="X501">
        <v>0.39036779268141247</v>
      </c>
      <c r="Y501">
        <v>0.47509319556357188</v>
      </c>
      <c r="Z501">
        <v>0.20956105060729849</v>
      </c>
      <c r="AA501">
        <v>0.36575621404449898</v>
      </c>
      <c r="AB501">
        <v>0.35001880953427078</v>
      </c>
      <c r="AC501">
        <v>0.35910345692475809</v>
      </c>
      <c r="AD501">
        <v>3.0344355517579299E-2</v>
      </c>
      <c r="AE501">
        <v>0.35615639674041821</v>
      </c>
    </row>
    <row r="502" spans="1:31" x14ac:dyDescent="0.4">
      <c r="A502" s="1">
        <v>46062</v>
      </c>
      <c r="B502">
        <v>339</v>
      </c>
      <c r="D502">
        <v>240</v>
      </c>
      <c r="E502">
        <v>204.45</v>
      </c>
      <c r="F502">
        <v>176.1</v>
      </c>
      <c r="H502">
        <v>137.1</v>
      </c>
      <c r="I502">
        <v>127.8</v>
      </c>
      <c r="J502">
        <v>139.5</v>
      </c>
      <c r="K502">
        <v>146.44999999999999</v>
      </c>
      <c r="L502">
        <v>119.9</v>
      </c>
      <c r="M502">
        <v>108.5</v>
      </c>
      <c r="N502">
        <v>107.499</v>
      </c>
      <c r="O502">
        <v>104.35</v>
      </c>
      <c r="P502">
        <v>103.923</v>
      </c>
      <c r="Q502">
        <v>4.7150262312016397E-2</v>
      </c>
      <c r="S502">
        <v>7.4113677111645002E-2</v>
      </c>
      <c r="T502">
        <v>3.1312886788870703E-2</v>
      </c>
      <c r="U502">
        <v>8.48905081767585E-2</v>
      </c>
      <c r="W502">
        <v>7.0084476194228196E-2</v>
      </c>
      <c r="X502">
        <v>0.40015144101044969</v>
      </c>
      <c r="Y502">
        <v>0.47267834828634009</v>
      </c>
      <c r="Z502">
        <v>0.25355184966730321</v>
      </c>
      <c r="AA502">
        <v>0.37184429853274059</v>
      </c>
      <c r="AB502">
        <v>0.35628214228253557</v>
      </c>
      <c r="AC502">
        <v>0.37605713488567172</v>
      </c>
      <c r="AD502">
        <v>5.1903546352151199E-2</v>
      </c>
      <c r="AE502">
        <v>0.35387362080981127</v>
      </c>
    </row>
    <row r="503" spans="1:31" x14ac:dyDescent="0.4">
      <c r="A503" s="1">
        <v>46063</v>
      </c>
      <c r="B503">
        <v>339.7</v>
      </c>
      <c r="D503">
        <v>240.4</v>
      </c>
      <c r="E503">
        <v>205.1</v>
      </c>
      <c r="F503">
        <v>176.25</v>
      </c>
      <c r="H503">
        <v>137.44999999999999</v>
      </c>
      <c r="I503">
        <v>127.9</v>
      </c>
      <c r="J503">
        <v>140.19999999999999</v>
      </c>
      <c r="K503">
        <v>146.6</v>
      </c>
      <c r="L503">
        <v>120.18</v>
      </c>
      <c r="M503">
        <v>108.8</v>
      </c>
      <c r="N503">
        <v>107.611</v>
      </c>
      <c r="O503">
        <v>105.35</v>
      </c>
      <c r="P503">
        <v>103.721</v>
      </c>
      <c r="Q503">
        <v>2.3297770308619199E-2</v>
      </c>
      <c r="S503">
        <v>7.3390942625794403E-2</v>
      </c>
      <c r="T503">
        <v>8.2602229162362008E-3</v>
      </c>
      <c r="U503">
        <v>8.5141209480660701E-2</v>
      </c>
      <c r="W503">
        <v>6.8992781502496395E-2</v>
      </c>
      <c r="X503">
        <v>0.4035216587499269</v>
      </c>
      <c r="Y503">
        <v>0.46470067198306481</v>
      </c>
      <c r="Z503">
        <v>0.20783051260639529</v>
      </c>
      <c r="AA503">
        <v>0.36862880374296297</v>
      </c>
      <c r="AB503">
        <v>0.3582284505327612</v>
      </c>
      <c r="AC503">
        <v>0.37420295722951752</v>
      </c>
      <c r="AD503">
        <v>2.2496963807800498E-2</v>
      </c>
      <c r="AE503">
        <v>0.37461385265589742</v>
      </c>
    </row>
    <row r="504" spans="1:31" x14ac:dyDescent="0.4">
      <c r="A504" s="1">
        <v>46064</v>
      </c>
      <c r="B504">
        <v>339.75</v>
      </c>
      <c r="D504">
        <v>240.25</v>
      </c>
      <c r="E504">
        <v>205.25</v>
      </c>
      <c r="F504">
        <v>176.1</v>
      </c>
      <c r="H504">
        <v>137.44999999999999</v>
      </c>
      <c r="I504">
        <v>127.8</v>
      </c>
      <c r="J504">
        <v>140.6</v>
      </c>
      <c r="K504">
        <v>146.6</v>
      </c>
      <c r="L504">
        <v>120.05</v>
      </c>
      <c r="M504">
        <v>108.65</v>
      </c>
      <c r="N504">
        <v>108.3</v>
      </c>
      <c r="O504">
        <v>105.2</v>
      </c>
      <c r="P504">
        <v>103.78</v>
      </c>
      <c r="Q504">
        <v>4.6682907967272397E-2</v>
      </c>
      <c r="S504">
        <v>7.5547617819905002E-2</v>
      </c>
      <c r="T504">
        <v>1.2599180613925801E-2</v>
      </c>
      <c r="U504">
        <v>8.7005457361262001E-2</v>
      </c>
      <c r="W504">
        <v>6.9506514557380897E-2</v>
      </c>
      <c r="X504">
        <v>0.3955363921237357</v>
      </c>
      <c r="Y504">
        <v>0.4603791091860151</v>
      </c>
      <c r="Z504">
        <v>0.2044529677972336</v>
      </c>
      <c r="AA504">
        <v>0.37765604065483421</v>
      </c>
      <c r="AB504">
        <v>0.36428353849576789</v>
      </c>
      <c r="AC504">
        <v>0.36537477073061869</v>
      </c>
      <c r="AD504">
        <v>3.0708612901650299E-2</v>
      </c>
      <c r="AE504">
        <v>0.3770151975918074</v>
      </c>
    </row>
    <row r="505" spans="1:31" x14ac:dyDescent="0.4">
      <c r="A505" s="1">
        <v>46065</v>
      </c>
      <c r="B505">
        <v>341.3</v>
      </c>
      <c r="D505">
        <v>241</v>
      </c>
      <c r="E505">
        <v>205.6</v>
      </c>
      <c r="F505">
        <v>176.35</v>
      </c>
      <c r="H505">
        <v>137.75</v>
      </c>
      <c r="I505">
        <v>128.6</v>
      </c>
      <c r="J505">
        <v>141</v>
      </c>
      <c r="K505">
        <v>146.85</v>
      </c>
      <c r="L505">
        <v>120.3</v>
      </c>
      <c r="M505">
        <v>108.9</v>
      </c>
      <c r="N505">
        <v>108.3</v>
      </c>
      <c r="O505">
        <v>105.72</v>
      </c>
      <c r="P505">
        <v>103.9</v>
      </c>
      <c r="Q505">
        <v>3.7077063402397699E-2</v>
      </c>
      <c r="S505">
        <v>7.5777913396354701E-2</v>
      </c>
      <c r="T505">
        <v>6.5813968412031E-3</v>
      </c>
      <c r="U505">
        <v>8.6724265548983298E-2</v>
      </c>
      <c r="W505">
        <v>6.7874729401283598E-2</v>
      </c>
      <c r="X505">
        <v>0.36511300823874859</v>
      </c>
      <c r="Y505">
        <v>0.4565979246024488</v>
      </c>
      <c r="Z505">
        <v>0.18514072850387059</v>
      </c>
      <c r="AA505">
        <v>0.37209785421419378</v>
      </c>
      <c r="AB505">
        <v>0.3550230821784417</v>
      </c>
      <c r="AC505">
        <v>0.35401066653652319</v>
      </c>
      <c r="AD505">
        <v>1.6953308989926801E-2</v>
      </c>
      <c r="AE505">
        <v>0.37494893638094789</v>
      </c>
    </row>
    <row r="506" spans="1:31" x14ac:dyDescent="0.4">
      <c r="A506" s="1">
        <v>46066</v>
      </c>
      <c r="B506">
        <v>343.85</v>
      </c>
      <c r="D506">
        <v>243</v>
      </c>
      <c r="E506">
        <v>206.6</v>
      </c>
      <c r="F506">
        <v>178.3</v>
      </c>
      <c r="H506">
        <v>138.75</v>
      </c>
      <c r="I506">
        <v>129.80000000000001</v>
      </c>
      <c r="J506">
        <v>141.80000000000001</v>
      </c>
      <c r="K506">
        <v>147.69999999999999</v>
      </c>
      <c r="L506">
        <v>121.36</v>
      </c>
      <c r="M506">
        <v>109.85</v>
      </c>
      <c r="N506">
        <v>109.95</v>
      </c>
      <c r="O506">
        <v>106.58</v>
      </c>
      <c r="P506">
        <v>104.44</v>
      </c>
      <c r="Q506">
        <v>1.84753468668899E-2</v>
      </c>
      <c r="S506">
        <v>6.3937489792161101E-2</v>
      </c>
      <c r="T506">
        <v>-1.28427896812705E-2</v>
      </c>
      <c r="U506">
        <v>7.4988937448301304E-2</v>
      </c>
      <c r="W506">
        <v>5.8770334422106503E-2</v>
      </c>
      <c r="X506">
        <v>0.3654260058152588</v>
      </c>
      <c r="Y506">
        <v>0.44800606764851791</v>
      </c>
      <c r="Z506">
        <v>0.11129442161023161</v>
      </c>
      <c r="AA506">
        <v>0.33545992969617089</v>
      </c>
      <c r="AB506">
        <v>0.33598109684934208</v>
      </c>
      <c r="AC506">
        <v>0.34019725218445818</v>
      </c>
      <c r="AD506">
        <v>-7.7220621546423996E-3</v>
      </c>
      <c r="AE506">
        <v>0.3552417287316294</v>
      </c>
    </row>
    <row r="507" spans="1:31" x14ac:dyDescent="0.4">
      <c r="A507" s="1">
        <v>46071</v>
      </c>
      <c r="B507">
        <v>343.95</v>
      </c>
      <c r="D507">
        <v>243.7</v>
      </c>
      <c r="E507">
        <v>206.5</v>
      </c>
      <c r="F507">
        <v>178.7</v>
      </c>
      <c r="H507">
        <v>139.19999999999999</v>
      </c>
      <c r="I507">
        <v>129.69999999999999</v>
      </c>
      <c r="J507">
        <v>142.25</v>
      </c>
      <c r="K507">
        <v>147.75</v>
      </c>
      <c r="L507">
        <v>120.95</v>
      </c>
      <c r="M507">
        <v>109.85</v>
      </c>
      <c r="N507">
        <v>110</v>
      </c>
      <c r="O507">
        <v>106.48</v>
      </c>
      <c r="P507">
        <v>104.28</v>
      </c>
      <c r="Q507">
        <v>1.5455521851191501E-2</v>
      </c>
      <c r="S507">
        <v>6.5302838576868596E-2</v>
      </c>
      <c r="T507">
        <v>1.62285533830917E-2</v>
      </c>
      <c r="U507">
        <v>8.0472415458665306E-2</v>
      </c>
      <c r="W507">
        <v>7.0499042893852407E-2</v>
      </c>
      <c r="X507">
        <v>0.35277145422728567</v>
      </c>
      <c r="Y507">
        <v>0.4501987482450982</v>
      </c>
      <c r="Z507">
        <v>0.1220934822293531</v>
      </c>
      <c r="AA507">
        <v>0.33461477551018631</v>
      </c>
      <c r="AB507">
        <v>0.34692821077251279</v>
      </c>
      <c r="AC507">
        <v>0.34707628959846931</v>
      </c>
      <c r="AD507">
        <v>1.0654549805377399E-2</v>
      </c>
      <c r="AE507">
        <v>0.37281489406756452</v>
      </c>
    </row>
    <row r="508" spans="1:31" x14ac:dyDescent="0.4">
      <c r="A508" s="1">
        <v>46072</v>
      </c>
      <c r="B508">
        <v>343.65</v>
      </c>
      <c r="D508">
        <v>243.7</v>
      </c>
      <c r="E508">
        <v>206.4</v>
      </c>
      <c r="F508">
        <v>178.75</v>
      </c>
      <c r="H508">
        <v>139</v>
      </c>
      <c r="I508">
        <v>129.05000000000001</v>
      </c>
      <c r="J508">
        <v>141.9</v>
      </c>
      <c r="K508">
        <v>147.85</v>
      </c>
      <c r="L508">
        <v>120.748</v>
      </c>
      <c r="M508">
        <v>109.6</v>
      </c>
      <c r="N508">
        <v>110</v>
      </c>
      <c r="O508">
        <v>106.3</v>
      </c>
      <c r="P508">
        <v>104.25</v>
      </c>
      <c r="Q508">
        <v>5.7737361460009899E-2</v>
      </c>
      <c r="S508">
        <v>6.8432101685510505E-2</v>
      </c>
      <c r="T508">
        <v>8.49470389019749E-2</v>
      </c>
      <c r="U508">
        <v>8.1266059653250899E-2</v>
      </c>
      <c r="W508">
        <v>6.3932174134761405E-2</v>
      </c>
      <c r="X508">
        <v>0.37474576124910181</v>
      </c>
      <c r="Y508">
        <v>0.45586550009416388</v>
      </c>
      <c r="Z508">
        <v>0.11386296625742789</v>
      </c>
      <c r="AA508">
        <v>0.38429589843642198</v>
      </c>
      <c r="AB508">
        <v>0.3544627647985254</v>
      </c>
      <c r="AC508">
        <v>0.34866356092408762</v>
      </c>
      <c r="AD508">
        <v>2.44975429668834E-2</v>
      </c>
      <c r="AE508">
        <v>0.36661264971399288</v>
      </c>
    </row>
    <row r="509" spans="1:31" x14ac:dyDescent="0.4">
      <c r="A509" s="1">
        <v>46073</v>
      </c>
      <c r="B509">
        <v>344.6</v>
      </c>
      <c r="D509">
        <v>244.4</v>
      </c>
      <c r="E509">
        <v>207.1</v>
      </c>
      <c r="F509">
        <v>179.3</v>
      </c>
      <c r="H509">
        <v>139.30000000000001</v>
      </c>
      <c r="I509">
        <v>129.69999999999999</v>
      </c>
      <c r="J509">
        <v>142.30000000000001</v>
      </c>
      <c r="K509">
        <v>148.35</v>
      </c>
      <c r="L509">
        <v>121.16</v>
      </c>
      <c r="M509">
        <v>110.15</v>
      </c>
      <c r="N509">
        <v>110.937</v>
      </c>
      <c r="O509">
        <v>106.6</v>
      </c>
      <c r="P509">
        <v>104.63500000000001</v>
      </c>
      <c r="Q509">
        <v>3.2243612455255997E-2</v>
      </c>
      <c r="S509">
        <v>6.6119582697733603E-2</v>
      </c>
      <c r="T509">
        <v>6.6095875855390002E-3</v>
      </c>
      <c r="U509">
        <v>7.9375053238653598E-2</v>
      </c>
      <c r="W509">
        <v>6.3910230726619402E-2</v>
      </c>
      <c r="X509">
        <v>0.35907451171574611</v>
      </c>
      <c r="Y509">
        <v>0.45202400187060621</v>
      </c>
      <c r="Z509">
        <v>0.189634809166982</v>
      </c>
      <c r="AA509">
        <v>0.42053092863203517</v>
      </c>
      <c r="AB509">
        <v>0.3497937314830234</v>
      </c>
      <c r="AC509">
        <v>0.33400248817183709</v>
      </c>
      <c r="AD509">
        <v>1.40087872232198E-2</v>
      </c>
      <c r="AE509">
        <v>0.37105236704490291</v>
      </c>
    </row>
    <row r="510" spans="1:31" x14ac:dyDescent="0.4">
      <c r="A510" s="1">
        <v>46076</v>
      </c>
      <c r="B510">
        <v>344.05</v>
      </c>
      <c r="D510">
        <v>244.6</v>
      </c>
      <c r="E510">
        <v>207.25</v>
      </c>
      <c r="F510">
        <v>179.2</v>
      </c>
      <c r="H510">
        <v>139.44999999999999</v>
      </c>
      <c r="I510">
        <v>129.5</v>
      </c>
      <c r="J510">
        <v>142.65</v>
      </c>
      <c r="K510">
        <v>148.55000000000001</v>
      </c>
      <c r="L510">
        <v>121.15</v>
      </c>
      <c r="M510">
        <v>110.3</v>
      </c>
      <c r="N510">
        <v>110.4</v>
      </c>
      <c r="O510">
        <v>106.6</v>
      </c>
      <c r="P510">
        <v>104.74</v>
      </c>
      <c r="Q510">
        <v>4.5596571395753301E-2</v>
      </c>
      <c r="S510">
        <v>6.9230948136594306E-2</v>
      </c>
      <c r="T510">
        <v>2.3022620040471502E-2</v>
      </c>
      <c r="U510">
        <v>8.2315292696077402E-2</v>
      </c>
      <c r="W510">
        <v>6.7164549944043403E-2</v>
      </c>
      <c r="X510">
        <v>0.37496153166180041</v>
      </c>
      <c r="Y510">
        <v>0.45317874218149229</v>
      </c>
      <c r="Z510">
        <v>4.4056528598849502E-2</v>
      </c>
      <c r="AA510">
        <v>0.38581549464776449</v>
      </c>
      <c r="AB510">
        <v>0.35107820681078161</v>
      </c>
      <c r="AC510">
        <v>0.34806649022983599</v>
      </c>
      <c r="AD510">
        <v>2.47800537681334E-2</v>
      </c>
      <c r="AE510">
        <v>0.38763986790408261</v>
      </c>
    </row>
    <row r="511" spans="1:31" x14ac:dyDescent="0.4">
      <c r="A511" s="1">
        <v>46077</v>
      </c>
      <c r="B511">
        <v>345.1</v>
      </c>
      <c r="D511">
        <v>245.2</v>
      </c>
      <c r="E511">
        <v>207.9</v>
      </c>
      <c r="F511">
        <v>179.7</v>
      </c>
      <c r="H511">
        <v>139.9</v>
      </c>
      <c r="I511">
        <v>130.25</v>
      </c>
      <c r="J511">
        <v>143.80000000000001</v>
      </c>
      <c r="K511">
        <v>148.69999999999999</v>
      </c>
      <c r="L511">
        <v>121.93</v>
      </c>
      <c r="M511">
        <v>111.6</v>
      </c>
      <c r="N511">
        <v>111.2</v>
      </c>
      <c r="O511">
        <v>106.95</v>
      </c>
      <c r="P511">
        <v>105.175</v>
      </c>
      <c r="Q511">
        <v>2.97077720290756E-2</v>
      </c>
      <c r="S511">
        <v>7.3866267664014801E-2</v>
      </c>
      <c r="T511">
        <v>-5.72414253283254E-2</v>
      </c>
      <c r="U511">
        <v>8.1498297489381394E-2</v>
      </c>
      <c r="W511">
        <v>6.3838559916934406E-2</v>
      </c>
      <c r="X511">
        <v>0.32144951404656091</v>
      </c>
      <c r="Y511">
        <v>0.42282684528909797</v>
      </c>
      <c r="Z511">
        <v>6.6586267880860001E-3</v>
      </c>
      <c r="AA511">
        <v>0.3043230047872047</v>
      </c>
      <c r="AB511">
        <v>0.33882589850943778</v>
      </c>
      <c r="AC511">
        <v>0.33561872800070469</v>
      </c>
      <c r="AD511">
        <v>1.57185380671548E-2</v>
      </c>
      <c r="AE511">
        <v>0.35996428183425661</v>
      </c>
    </row>
    <row r="512" spans="1:31" x14ac:dyDescent="0.4">
      <c r="A512" s="1">
        <v>46078</v>
      </c>
      <c r="B512">
        <v>345.4</v>
      </c>
      <c r="D512">
        <v>245.5</v>
      </c>
      <c r="E512">
        <v>208.1</v>
      </c>
      <c r="F512">
        <v>179.75</v>
      </c>
      <c r="H512">
        <v>140.15</v>
      </c>
      <c r="I512">
        <v>130.30000000000001</v>
      </c>
      <c r="J512">
        <v>143.69999999999999</v>
      </c>
      <c r="K512">
        <v>148.9</v>
      </c>
      <c r="L512">
        <v>121.851</v>
      </c>
      <c r="M512">
        <v>111.9</v>
      </c>
      <c r="N512">
        <v>111.15</v>
      </c>
      <c r="O512">
        <v>107.05</v>
      </c>
      <c r="P512">
        <v>105.21</v>
      </c>
      <c r="Q512">
        <v>3.9930113486461701E-2</v>
      </c>
      <c r="S512">
        <v>6.6169687859109705E-2</v>
      </c>
      <c r="T512">
        <v>3.7210138977934E-3</v>
      </c>
      <c r="U512">
        <v>8.2308739832465505E-2</v>
      </c>
      <c r="W512">
        <v>6.2718602122673106E-2</v>
      </c>
      <c r="X512">
        <v>0.35319744544948278</v>
      </c>
      <c r="Y512">
        <v>0.44344280718687351</v>
      </c>
      <c r="Z512">
        <v>7.0103064357507003E-3</v>
      </c>
      <c r="AA512">
        <v>0.4022828031614023</v>
      </c>
      <c r="AB512">
        <v>0.3367220996525056</v>
      </c>
      <c r="AC512">
        <v>0.3380613102468461</v>
      </c>
      <c r="AD512">
        <v>1.5716789733242701E-2</v>
      </c>
      <c r="AE512">
        <v>0.36497811762497451</v>
      </c>
    </row>
    <row r="513" spans="1:31" x14ac:dyDescent="0.4">
      <c r="A513" s="1">
        <v>46079</v>
      </c>
      <c r="B513">
        <v>347.2</v>
      </c>
      <c r="D513">
        <v>247</v>
      </c>
      <c r="E513">
        <v>208.84</v>
      </c>
      <c r="F513">
        <v>180.7</v>
      </c>
      <c r="H513">
        <v>140.69999999999999</v>
      </c>
      <c r="I513">
        <v>130.80000000000001</v>
      </c>
      <c r="J513">
        <v>144</v>
      </c>
      <c r="K513">
        <v>149.22999999999999</v>
      </c>
      <c r="L513">
        <v>122.58</v>
      </c>
      <c r="M513">
        <v>112.55</v>
      </c>
      <c r="N513">
        <v>111.4</v>
      </c>
      <c r="O513">
        <v>107.5</v>
      </c>
      <c r="P513">
        <v>105.67100000000001</v>
      </c>
      <c r="Q513">
        <v>2.7331904809924701E-2</v>
      </c>
      <c r="S513">
        <v>6.1712219950237103E-2</v>
      </c>
      <c r="T513">
        <v>-2.0268591335418199E-2</v>
      </c>
      <c r="U513">
        <v>7.8243205765645696E-2</v>
      </c>
      <c r="W513">
        <v>5.8284829651858099E-2</v>
      </c>
      <c r="X513">
        <v>0.34599102543481852</v>
      </c>
      <c r="Y513">
        <v>0.44154705671840061</v>
      </c>
      <c r="Z513">
        <v>-4.2681467863944798E-2</v>
      </c>
      <c r="AA513">
        <v>0.3377796800416023</v>
      </c>
      <c r="AB513">
        <v>0.33112809252975428</v>
      </c>
      <c r="AC513">
        <v>0.33524898034473288</v>
      </c>
      <c r="AD513">
        <v>2.9183017459750799E-2</v>
      </c>
      <c r="AE513">
        <v>0.33193301953404508</v>
      </c>
    </row>
    <row r="514" spans="1:31" x14ac:dyDescent="0.4">
      <c r="A514" s="1">
        <v>46080</v>
      </c>
      <c r="B514">
        <v>349</v>
      </c>
      <c r="D514">
        <v>248</v>
      </c>
      <c r="E514">
        <v>209.45</v>
      </c>
      <c r="F514">
        <v>181.8</v>
      </c>
      <c r="H514">
        <v>141.25</v>
      </c>
      <c r="I514">
        <v>131.75</v>
      </c>
      <c r="J514">
        <v>144.44999999999999</v>
      </c>
      <c r="K514">
        <v>149.65</v>
      </c>
      <c r="L514">
        <v>123</v>
      </c>
      <c r="M514">
        <v>112.85</v>
      </c>
      <c r="N514">
        <v>111.01</v>
      </c>
      <c r="O514">
        <v>107.995</v>
      </c>
      <c r="P514">
        <v>106.04</v>
      </c>
      <c r="Q514">
        <v>1.47650249305576E-2</v>
      </c>
      <c r="S514">
        <v>5.6741549138250802E-2</v>
      </c>
      <c r="T514">
        <v>-4.7587010944397101E-2</v>
      </c>
      <c r="U514">
        <v>7.3395769245632098E-2</v>
      </c>
      <c r="W514">
        <v>5.3857250321001901E-2</v>
      </c>
      <c r="X514">
        <v>0.32096896571235212</v>
      </c>
      <c r="Y514">
        <v>0.4364613312142141</v>
      </c>
      <c r="Z514">
        <v>-0.1088979251375929</v>
      </c>
      <c r="AA514">
        <v>0.32402673789631392</v>
      </c>
      <c r="AB514">
        <v>0.32903400913422609</v>
      </c>
      <c r="AC514">
        <v>0.34373231382465302</v>
      </c>
      <c r="AD514">
        <v>-1.17146960619349E-2</v>
      </c>
      <c r="AE514">
        <v>0.30487267487169362</v>
      </c>
    </row>
    <row r="515" spans="1:31" x14ac:dyDescent="0.4">
      <c r="A515" s="1">
        <v>46083</v>
      </c>
      <c r="B515">
        <v>349.95</v>
      </c>
      <c r="D515">
        <v>248</v>
      </c>
      <c r="E515">
        <v>209.68</v>
      </c>
      <c r="F515">
        <v>182.45</v>
      </c>
      <c r="H515">
        <v>141.65</v>
      </c>
      <c r="I515">
        <v>132.15</v>
      </c>
      <c r="J515">
        <v>144.6</v>
      </c>
      <c r="K515">
        <v>149.9</v>
      </c>
      <c r="L515">
        <v>123.34</v>
      </c>
      <c r="M515">
        <v>112.85</v>
      </c>
      <c r="N515">
        <v>112.24</v>
      </c>
      <c r="O515">
        <v>108.44</v>
      </c>
      <c r="P515">
        <v>106.23</v>
      </c>
      <c r="Q515">
        <v>1.53935062881532E-2</v>
      </c>
      <c r="S515">
        <v>6.1059902204904697E-2</v>
      </c>
      <c r="T515">
        <v>-3.2106905438779199E-2</v>
      </c>
      <c r="U515">
        <v>7.3223021049965198E-2</v>
      </c>
      <c r="W515">
        <v>5.4503176599916797E-2</v>
      </c>
      <c r="X515">
        <v>0.31815141207113917</v>
      </c>
      <c r="Y515">
        <v>0.4400215274032534</v>
      </c>
      <c r="Z515">
        <v>-0.16716870153572891</v>
      </c>
      <c r="AA515">
        <v>0.3217460199211285</v>
      </c>
      <c r="AB515">
        <v>0.33171156264898688</v>
      </c>
      <c r="AC515">
        <v>0.32673567509196982</v>
      </c>
      <c r="AD515">
        <v>-1.73896077337117E-2</v>
      </c>
      <c r="AE515">
        <v>0.3092443266535711</v>
      </c>
    </row>
    <row r="516" spans="1:31" x14ac:dyDescent="0.4">
      <c r="A516" s="1">
        <v>46084</v>
      </c>
      <c r="B516">
        <v>350.5</v>
      </c>
      <c r="D516">
        <v>248.2</v>
      </c>
      <c r="E516">
        <v>209.54900000000001</v>
      </c>
      <c r="F516">
        <v>182</v>
      </c>
      <c r="H516">
        <v>141.80000000000001</v>
      </c>
      <c r="I516">
        <v>131.94999999999999</v>
      </c>
      <c r="J516">
        <v>144.30000000000001</v>
      </c>
      <c r="K516">
        <v>149.93</v>
      </c>
      <c r="L516">
        <v>123.15</v>
      </c>
      <c r="M516">
        <v>112.2</v>
      </c>
      <c r="N516">
        <v>112</v>
      </c>
      <c r="O516">
        <v>108.6</v>
      </c>
      <c r="P516">
        <v>106.13</v>
      </c>
      <c r="Q516">
        <v>1.3837293609860199E-2</v>
      </c>
      <c r="S516">
        <v>6.1565100831784299E-2</v>
      </c>
      <c r="T516">
        <v>-1.2557559712075899E-2</v>
      </c>
      <c r="U516">
        <v>7.6853612374649397E-2</v>
      </c>
      <c r="W516">
        <v>5.4676475614032098E-2</v>
      </c>
      <c r="X516">
        <v>0.32728232852229872</v>
      </c>
      <c r="Y516">
        <v>0.44561342790837871</v>
      </c>
      <c r="Z516">
        <v>-0.18334363033032039</v>
      </c>
      <c r="AA516">
        <v>0.33447664511795289</v>
      </c>
      <c r="AB516">
        <v>0.33918123052353871</v>
      </c>
      <c r="AC516">
        <v>0.33254705246966298</v>
      </c>
      <c r="AD516">
        <v>-1.9429142453482501E-2</v>
      </c>
      <c r="AE516">
        <v>0.3270683716517464</v>
      </c>
    </row>
    <row r="517" spans="1:31" x14ac:dyDescent="0.4">
      <c r="A517" s="1">
        <v>46085</v>
      </c>
      <c r="B517">
        <v>351.95</v>
      </c>
      <c r="D517">
        <v>249.8</v>
      </c>
      <c r="E517">
        <v>209.97</v>
      </c>
      <c r="F517">
        <v>183.2</v>
      </c>
      <c r="H517">
        <v>142.69999999999999</v>
      </c>
      <c r="I517">
        <v>132.19999999999999</v>
      </c>
      <c r="J517">
        <v>144.9</v>
      </c>
      <c r="K517">
        <v>150.15</v>
      </c>
      <c r="L517">
        <v>123.49</v>
      </c>
      <c r="M517">
        <v>112.5</v>
      </c>
      <c r="N517">
        <v>112.349</v>
      </c>
      <c r="O517">
        <v>108.75</v>
      </c>
      <c r="P517">
        <v>106.4</v>
      </c>
      <c r="Q517">
        <v>4.3881896647074998E-3</v>
      </c>
      <c r="S517">
        <v>5.4587875173317098E-2</v>
      </c>
      <c r="T517">
        <v>-2.5911242262158799E-2</v>
      </c>
      <c r="U517">
        <v>7.1580535307825405E-2</v>
      </c>
      <c r="W517">
        <v>4.6547839460382302E-2</v>
      </c>
      <c r="X517">
        <v>0.32280976651354309</v>
      </c>
      <c r="Y517">
        <v>0.43993695062251242</v>
      </c>
      <c r="Z517">
        <v>-0.23156801474323821</v>
      </c>
      <c r="AA517">
        <v>0.32359712995417877</v>
      </c>
      <c r="AB517">
        <v>0.33705918833406029</v>
      </c>
      <c r="AC517">
        <v>0.32793030100725468</v>
      </c>
      <c r="AD517">
        <v>-2.1126133274453701E-2</v>
      </c>
      <c r="AE517">
        <v>0.3081513344161686</v>
      </c>
    </row>
    <row r="518" spans="1:31" x14ac:dyDescent="0.4">
      <c r="A518" s="1">
        <v>46086</v>
      </c>
      <c r="B518">
        <v>351.5</v>
      </c>
      <c r="D518">
        <v>250.5</v>
      </c>
      <c r="E518">
        <v>210.2</v>
      </c>
      <c r="F518">
        <v>183.45</v>
      </c>
      <c r="H518">
        <v>143.05000000000001</v>
      </c>
      <c r="I518">
        <v>132.15</v>
      </c>
      <c r="J518">
        <v>145.30000000000001</v>
      </c>
      <c r="K518">
        <v>150.25</v>
      </c>
      <c r="L518">
        <v>123.52</v>
      </c>
      <c r="M518">
        <v>112.45</v>
      </c>
      <c r="N518">
        <v>111.88500000000001</v>
      </c>
      <c r="O518">
        <v>108.65</v>
      </c>
      <c r="P518">
        <v>106.45</v>
      </c>
      <c r="Q518">
        <v>1.1560446111729E-2</v>
      </c>
      <c r="S518">
        <v>5.2419162603806697E-2</v>
      </c>
      <c r="T518">
        <v>-2.7888358952370799E-2</v>
      </c>
      <c r="U518">
        <v>7.1431884317085803E-2</v>
      </c>
      <c r="W518">
        <v>4.44968655493716E-2</v>
      </c>
      <c r="X518">
        <v>0.32752079409134788</v>
      </c>
      <c r="Y518">
        <v>0.43676843593768699</v>
      </c>
      <c r="Z518">
        <v>-0.2659206141999273</v>
      </c>
      <c r="AA518">
        <v>0.32660444140250389</v>
      </c>
      <c r="AB518">
        <v>0.33849072857408952</v>
      </c>
      <c r="AC518">
        <v>0.33782083859544271</v>
      </c>
      <c r="AD518">
        <v>-1.3294064060496101E-2</v>
      </c>
      <c r="AE518">
        <v>0.31118128414100837</v>
      </c>
    </row>
    <row r="519" spans="1:31" x14ac:dyDescent="0.4">
      <c r="A519" s="1">
        <v>46087</v>
      </c>
      <c r="B519">
        <v>352.05</v>
      </c>
      <c r="D519">
        <v>251</v>
      </c>
      <c r="E519">
        <v>210.67</v>
      </c>
      <c r="F519">
        <v>183.7</v>
      </c>
      <c r="H519">
        <v>143</v>
      </c>
      <c r="I519">
        <v>132.30000000000001</v>
      </c>
      <c r="J519">
        <v>145.85</v>
      </c>
      <c r="K519">
        <v>150.47999999999999</v>
      </c>
      <c r="L519">
        <v>123.61</v>
      </c>
      <c r="M519">
        <v>112.4</v>
      </c>
      <c r="N519">
        <v>111.9</v>
      </c>
      <c r="O519">
        <v>108.869</v>
      </c>
      <c r="P519">
        <v>106.639</v>
      </c>
      <c r="Q519">
        <v>9.9588041878761E-3</v>
      </c>
      <c r="S519">
        <v>5.1310992464164602E-2</v>
      </c>
      <c r="T519">
        <v>-4.5794146999450003E-2</v>
      </c>
      <c r="U519">
        <v>7.1284328277990694E-2</v>
      </c>
      <c r="W519">
        <v>4.68559652105442E-2</v>
      </c>
      <c r="X519">
        <v>0.3260901126365312</v>
      </c>
      <c r="Y519">
        <v>0.43172973815269722</v>
      </c>
      <c r="Z519">
        <v>-0.32639940186109673</v>
      </c>
      <c r="AA519">
        <v>0.3269268524294911</v>
      </c>
      <c r="AB519">
        <v>0.33993085640627918</v>
      </c>
      <c r="AC519">
        <v>0.33918623267802561</v>
      </c>
      <c r="AD519">
        <v>-1.76392789348064E-2</v>
      </c>
      <c r="AE519">
        <v>0.29975298399896427</v>
      </c>
    </row>
    <row r="520" spans="1:31" x14ac:dyDescent="0.4">
      <c r="A520" s="1">
        <v>46090</v>
      </c>
      <c r="B520">
        <v>352.6</v>
      </c>
      <c r="D520">
        <v>251.2</v>
      </c>
      <c r="E520">
        <v>210.92</v>
      </c>
      <c r="F520">
        <v>183.9</v>
      </c>
      <c r="H520">
        <v>143.30000000000001</v>
      </c>
      <c r="I520">
        <v>132.35</v>
      </c>
      <c r="J520">
        <v>146.5</v>
      </c>
      <c r="K520">
        <v>150.77600000000001</v>
      </c>
      <c r="L520">
        <v>123.8</v>
      </c>
      <c r="M520">
        <v>112.5</v>
      </c>
      <c r="N520">
        <v>111.75</v>
      </c>
      <c r="O520">
        <v>109.05</v>
      </c>
      <c r="P520">
        <v>106.85</v>
      </c>
      <c r="Q520">
        <v>1.50698081807723E-2</v>
      </c>
      <c r="S520">
        <v>5.4931456762466101E-2</v>
      </c>
      <c r="T520">
        <v>-2.23017554077234E-2</v>
      </c>
      <c r="U520">
        <v>7.3827153257390393E-2</v>
      </c>
      <c r="W520">
        <v>4.9021315430199303E-2</v>
      </c>
      <c r="X520">
        <v>0.334456395159965</v>
      </c>
      <c r="Y520">
        <v>0.42906149823027079</v>
      </c>
      <c r="Z520">
        <v>-0.4859921875723705</v>
      </c>
      <c r="AA520">
        <v>0.33177928850795751</v>
      </c>
      <c r="AB520">
        <v>0.34172413005717811</v>
      </c>
      <c r="AC520">
        <v>0.34695363525957529</v>
      </c>
      <c r="AD520">
        <v>-1.2151306033482299E-2</v>
      </c>
      <c r="AE520">
        <v>0.30225213310120019</v>
      </c>
    </row>
    <row r="521" spans="1:31" x14ac:dyDescent="0.4">
      <c r="A521" s="1">
        <v>46091</v>
      </c>
      <c r="B521">
        <v>353</v>
      </c>
      <c r="D521">
        <v>251.4</v>
      </c>
      <c r="E521">
        <v>211.2</v>
      </c>
      <c r="F521">
        <v>184.1</v>
      </c>
      <c r="H521">
        <v>143.5</v>
      </c>
      <c r="I521">
        <v>132.44999999999999</v>
      </c>
      <c r="J521">
        <v>147</v>
      </c>
      <c r="K521">
        <v>150.87</v>
      </c>
      <c r="L521">
        <v>124.008</v>
      </c>
      <c r="M521">
        <v>112.95</v>
      </c>
      <c r="N521">
        <v>111.998</v>
      </c>
      <c r="O521">
        <v>109.35</v>
      </c>
      <c r="P521">
        <v>107.02</v>
      </c>
      <c r="Q521">
        <v>1.48373393575133E-2</v>
      </c>
      <c r="S521">
        <v>5.5438392648300201E-2</v>
      </c>
      <c r="T521">
        <v>-2.8455335381224502E-2</v>
      </c>
      <c r="U521">
        <v>7.3959241219282698E-2</v>
      </c>
      <c r="W521">
        <v>4.8632794636910399E-2</v>
      </c>
      <c r="X521">
        <v>0.33465444173118541</v>
      </c>
      <c r="Y521">
        <v>0.42463033466099048</v>
      </c>
      <c r="Z521">
        <v>-0.55684297419534534</v>
      </c>
      <c r="AA521">
        <v>0.32649890617077981</v>
      </c>
      <c r="AB521">
        <v>0.3380421200000458</v>
      </c>
      <c r="AC521">
        <v>0.34407747895441931</v>
      </c>
      <c r="AD521">
        <v>-1.99452003389026E-2</v>
      </c>
      <c r="AE521">
        <v>0.2917323812275216</v>
      </c>
    </row>
    <row r="522" spans="1:31" x14ac:dyDescent="0.4">
      <c r="A522" s="1">
        <v>46092</v>
      </c>
      <c r="B522">
        <v>353.3</v>
      </c>
      <c r="D522">
        <v>251.75</v>
      </c>
      <c r="E522">
        <v>211.45</v>
      </c>
      <c r="F522">
        <v>184.1</v>
      </c>
      <c r="H522">
        <v>143.35</v>
      </c>
      <c r="I522">
        <v>132.69999999999999</v>
      </c>
      <c r="J522">
        <v>147.05000000000001</v>
      </c>
      <c r="K522">
        <v>151</v>
      </c>
      <c r="L522">
        <v>124.119</v>
      </c>
      <c r="M522">
        <v>113.55</v>
      </c>
      <c r="N522">
        <v>112.3</v>
      </c>
      <c r="O522">
        <v>109.2</v>
      </c>
      <c r="P522">
        <v>107.07</v>
      </c>
      <c r="Q522">
        <v>1.5536650288362E-2</v>
      </c>
      <c r="S522">
        <v>5.51383143189128E-2</v>
      </c>
      <c r="T522">
        <v>-3.2682018753007802E-2</v>
      </c>
      <c r="U522">
        <v>7.5184267013634495E-2</v>
      </c>
      <c r="W522">
        <v>5.2201250175096997E-2</v>
      </c>
      <c r="X522">
        <v>0.32997108140941289</v>
      </c>
      <c r="Y522">
        <v>0.42581283024399252</v>
      </c>
      <c r="Z522">
        <v>-0.6460539531020536</v>
      </c>
      <c r="AA522">
        <v>0.32583498213833251</v>
      </c>
      <c r="AB522">
        <v>0.33284168479349868</v>
      </c>
      <c r="AC522">
        <v>0.34019670491733661</v>
      </c>
      <c r="AD522">
        <v>-9.4490501923452999E-3</v>
      </c>
      <c r="AE522">
        <v>0.29480234012932749</v>
      </c>
    </row>
    <row r="523" spans="1:31" x14ac:dyDescent="0.4">
      <c r="A523" s="1">
        <v>46093</v>
      </c>
      <c r="B523">
        <v>354.4</v>
      </c>
      <c r="D523">
        <v>252.4</v>
      </c>
      <c r="E523">
        <v>211.5</v>
      </c>
      <c r="F523">
        <v>184.45</v>
      </c>
      <c r="H523">
        <v>144</v>
      </c>
      <c r="I523">
        <v>132.4</v>
      </c>
      <c r="J523">
        <v>147.69999999999999</v>
      </c>
      <c r="K523">
        <v>151.08500000000001</v>
      </c>
      <c r="L523">
        <v>123.831</v>
      </c>
      <c r="M523">
        <v>112.85</v>
      </c>
      <c r="N523">
        <v>111.85</v>
      </c>
      <c r="O523">
        <v>109.7</v>
      </c>
      <c r="P523">
        <v>107.001</v>
      </c>
      <c r="Q523">
        <v>8.7631021002889005E-3</v>
      </c>
      <c r="S523">
        <v>5.3215500776142503E-2</v>
      </c>
      <c r="T523">
        <v>-1.9910871953260498E-2</v>
      </c>
      <c r="U523">
        <v>7.45020892222297E-2</v>
      </c>
      <c r="W523">
        <v>4.6726674149064902E-2</v>
      </c>
      <c r="X523">
        <v>0.34333683423557132</v>
      </c>
      <c r="Y523">
        <v>0.41950275568323953</v>
      </c>
      <c r="Z523">
        <v>-0.74047739801420598</v>
      </c>
      <c r="AA523">
        <v>0.3449813331708565</v>
      </c>
      <c r="AB523">
        <v>0.34095822093144768</v>
      </c>
      <c r="AC523">
        <v>0.35027595094109359</v>
      </c>
      <c r="AD523">
        <v>-2.5653174484890701E-2</v>
      </c>
      <c r="AE523">
        <v>0.31256222316242388</v>
      </c>
    </row>
    <row r="524" spans="1:31" x14ac:dyDescent="0.4">
      <c r="A524" s="1">
        <v>46094</v>
      </c>
      <c r="B524">
        <v>357.1</v>
      </c>
      <c r="D524">
        <v>255.45</v>
      </c>
      <c r="E524">
        <v>212.15</v>
      </c>
      <c r="F524">
        <v>187.1</v>
      </c>
      <c r="H524">
        <v>145.6</v>
      </c>
      <c r="I524">
        <v>133.05000000000001</v>
      </c>
      <c r="J524">
        <v>148.69999999999999</v>
      </c>
      <c r="L524">
        <v>124.601</v>
      </c>
      <c r="M524">
        <v>113.55</v>
      </c>
      <c r="N524">
        <v>112.699</v>
      </c>
      <c r="O524">
        <v>110.35</v>
      </c>
      <c r="P524">
        <v>107.5</v>
      </c>
      <c r="Q524">
        <v>-1.2806951078712599E-2</v>
      </c>
      <c r="S524">
        <v>3.8472881234992901E-2</v>
      </c>
      <c r="T524">
        <v>-6.0287156397502498E-2</v>
      </c>
      <c r="U524">
        <v>6.1408172709798897E-2</v>
      </c>
      <c r="W524">
        <v>3.0697907160309099E-2</v>
      </c>
      <c r="X524">
        <v>0.32536753528668361</v>
      </c>
      <c r="Y524">
        <v>0.4088894303777546</v>
      </c>
      <c r="AA524">
        <v>0.31159946807923372</v>
      </c>
      <c r="AB524">
        <v>0.33469742148751419</v>
      </c>
      <c r="AC524">
        <v>0.33619270064790518</v>
      </c>
      <c r="AD524">
        <v>-4.79833611799481E-2</v>
      </c>
      <c r="AE524">
        <v>0.26098858501774491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87DD-8AEC-4F5F-B368-CACF7F2711FA}">
  <sheetPr>
    <tabColor rgb="FFFF0000"/>
  </sheetPr>
  <dimension ref="A1"/>
  <sheetViews>
    <sheetView workbookViewId="0">
      <selection activeCell="F21" sqref="F20:F21"/>
    </sheetView>
  </sheetViews>
  <sheetFormatPr baseColWidth="10" defaultRowHeight="15" x14ac:dyDescent="0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E7FC-8BC4-4A5A-8C31-297B6FA6177E}">
  <dimension ref="A1:AM214"/>
  <sheetViews>
    <sheetView tabSelected="1" zoomScale="90" zoomScaleNormal="90" workbookViewId="0">
      <pane xSplit="1" ySplit="2" topLeftCell="Q68" activePane="bottomRight" state="frozen"/>
      <selection pane="topRight" activeCell="B1" sqref="B1"/>
      <selection pane="bottomLeft" activeCell="A3" sqref="A3"/>
      <selection pane="bottomRight" activeCell="T74" sqref="T74"/>
    </sheetView>
  </sheetViews>
  <sheetFormatPr baseColWidth="10" defaultRowHeight="15" x14ac:dyDescent="0.4"/>
  <cols>
    <col min="1" max="2" width="11.4140625" style="1" customWidth="1"/>
    <col min="4" max="4" width="18.75" customWidth="1"/>
    <col min="8" max="8" width="17.6640625" customWidth="1"/>
    <col min="9" max="9" width="24.4140625" bestFit="1" customWidth="1"/>
    <col min="10" max="10" width="13.08203125" bestFit="1" customWidth="1"/>
    <col min="11" max="11" width="16.25" bestFit="1" customWidth="1"/>
    <col min="12" max="12" width="17.25" bestFit="1" customWidth="1"/>
    <col min="13" max="13" width="24.4140625" bestFit="1" customWidth="1"/>
    <col min="14" max="14" width="13.08203125" bestFit="1" customWidth="1"/>
    <col min="15" max="15" width="16.25" bestFit="1" customWidth="1"/>
    <col min="17" max="17" width="23.58203125" bestFit="1" customWidth="1"/>
    <col min="19" max="19" width="17.25" customWidth="1"/>
    <col min="20" max="20" width="17.25" bestFit="1" customWidth="1"/>
    <col min="21" max="21" width="24.4140625" bestFit="1" customWidth="1"/>
    <col min="22" max="22" width="12.6640625" bestFit="1" customWidth="1"/>
    <col min="23" max="23" width="16.25" bestFit="1" customWidth="1"/>
    <col min="25" max="25" width="23.58203125" bestFit="1" customWidth="1"/>
    <col min="27" max="27" width="17.25" customWidth="1"/>
    <col min="28" max="28" width="17.25" bestFit="1" customWidth="1"/>
    <col min="29" max="29" width="24.4140625" bestFit="1" customWidth="1"/>
    <col min="30" max="30" width="12.6640625" bestFit="1" customWidth="1"/>
    <col min="31" max="31" width="16.25" bestFit="1" customWidth="1"/>
    <col min="33" max="33" width="23.58203125" bestFit="1" customWidth="1"/>
    <col min="35" max="35" width="17.25" customWidth="1"/>
    <col min="36" max="36" width="17.25" bestFit="1" customWidth="1"/>
    <col min="37" max="37" width="24.4140625" bestFit="1" customWidth="1"/>
    <col min="38" max="38" width="12.6640625" bestFit="1" customWidth="1"/>
    <col min="39" max="39" width="16.25" bestFit="1" customWidth="1"/>
  </cols>
  <sheetData>
    <row r="1" spans="1:39" x14ac:dyDescent="0.4">
      <c r="C1" s="1"/>
      <c r="D1" s="41" t="s">
        <v>73</v>
      </c>
      <c r="E1" s="41"/>
      <c r="F1" s="41"/>
      <c r="G1" s="42"/>
      <c r="H1" s="43" t="s">
        <v>31</v>
      </c>
      <c r="I1" s="43"/>
      <c r="J1" s="43"/>
      <c r="K1" s="44"/>
      <c r="L1" s="40" t="s">
        <v>32</v>
      </c>
      <c r="M1" s="41"/>
      <c r="N1" s="41"/>
      <c r="O1" s="42"/>
      <c r="P1" s="45" t="s">
        <v>44</v>
      </c>
      <c r="Q1" s="43"/>
      <c r="R1" s="43"/>
      <c r="S1" s="44"/>
      <c r="T1" s="40" t="s">
        <v>54</v>
      </c>
      <c r="U1" s="41"/>
      <c r="V1" s="41"/>
      <c r="W1" s="42"/>
      <c r="X1" s="45" t="s">
        <v>64</v>
      </c>
      <c r="Y1" s="43"/>
      <c r="Z1" s="43"/>
      <c r="AA1" s="44"/>
      <c r="AB1" s="40" t="s">
        <v>65</v>
      </c>
      <c r="AC1" s="41"/>
      <c r="AD1" s="41"/>
      <c r="AE1" s="42"/>
      <c r="AF1" s="45" t="s">
        <v>66</v>
      </c>
      <c r="AG1" s="43"/>
      <c r="AH1" s="43"/>
      <c r="AI1" s="44"/>
      <c r="AJ1" s="40" t="s">
        <v>67</v>
      </c>
      <c r="AK1" s="41"/>
      <c r="AL1" s="41"/>
      <c r="AM1" s="42"/>
    </row>
    <row r="2" spans="1:39" x14ac:dyDescent="0.4">
      <c r="A2" s="1" t="s">
        <v>8</v>
      </c>
      <c r="B2" s="1" t="s">
        <v>59</v>
      </c>
      <c r="C2" t="s">
        <v>12</v>
      </c>
      <c r="D2" s="8" t="s">
        <v>9</v>
      </c>
      <c r="E2" s="8" t="s">
        <v>10</v>
      </c>
      <c r="F2" s="8" t="s">
        <v>13</v>
      </c>
      <c r="G2" s="8" t="s">
        <v>14</v>
      </c>
      <c r="H2" s="7" t="s">
        <v>9</v>
      </c>
      <c r="I2" s="7" t="s">
        <v>10</v>
      </c>
      <c r="J2" s="7" t="s">
        <v>13</v>
      </c>
      <c r="K2" s="7" t="s">
        <v>14</v>
      </c>
      <c r="L2" s="8" t="s">
        <v>9</v>
      </c>
      <c r="M2" s="8" t="s">
        <v>10</v>
      </c>
      <c r="N2" s="8" t="s">
        <v>13</v>
      </c>
      <c r="O2" s="8" t="s">
        <v>14</v>
      </c>
      <c r="P2" s="7" t="s">
        <v>9</v>
      </c>
      <c r="Q2" s="7" t="s">
        <v>10</v>
      </c>
      <c r="R2" s="7" t="s">
        <v>13</v>
      </c>
      <c r="S2" s="7" t="s">
        <v>14</v>
      </c>
      <c r="T2" s="8" t="s">
        <v>9</v>
      </c>
      <c r="U2" s="8" t="s">
        <v>10</v>
      </c>
      <c r="V2" s="8" t="s">
        <v>13</v>
      </c>
      <c r="W2" s="8" t="s">
        <v>14</v>
      </c>
      <c r="X2" s="7" t="s">
        <v>9</v>
      </c>
      <c r="Y2" s="7" t="s">
        <v>10</v>
      </c>
      <c r="Z2" s="7" t="s">
        <v>13</v>
      </c>
      <c r="AA2" s="7" t="s">
        <v>14</v>
      </c>
      <c r="AB2" s="8" t="s">
        <v>9</v>
      </c>
      <c r="AC2" s="8" t="s">
        <v>10</v>
      </c>
      <c r="AD2" s="8" t="s">
        <v>13</v>
      </c>
      <c r="AE2" s="8" t="s">
        <v>14</v>
      </c>
      <c r="AF2" s="7" t="s">
        <v>9</v>
      </c>
      <c r="AG2" s="7" t="s">
        <v>10</v>
      </c>
      <c r="AH2" s="7" t="s">
        <v>13</v>
      </c>
      <c r="AI2" s="7" t="s">
        <v>14</v>
      </c>
      <c r="AJ2" s="8" t="s">
        <v>9</v>
      </c>
      <c r="AK2" s="8" t="s">
        <v>10</v>
      </c>
      <c r="AL2" s="8" t="s">
        <v>13</v>
      </c>
      <c r="AM2" s="8" t="s">
        <v>14</v>
      </c>
    </row>
    <row r="3" spans="1:39" x14ac:dyDescent="0.4">
      <c r="A3" s="1">
        <f>+[1]CER_implicito!$A420</f>
        <v>45974</v>
      </c>
      <c r="B3" s="1">
        <v>45976</v>
      </c>
      <c r="C3">
        <f>+VLOOKUP(B3,'Sheet1 (2)'!A:C,3)</f>
        <v>653.21048794825151</v>
      </c>
      <c r="H3" s="1">
        <v>46202</v>
      </c>
      <c r="I3" s="1">
        <f>+WORKDAY.INTL(H3,-10,1,Feriados!$A$2:$A$1048576)</f>
        <v>46184</v>
      </c>
      <c r="J3">
        <f>+VLOOKUP(A3,[1]CER_implicito!$A:$G,4)</f>
        <v>742.24796594222028</v>
      </c>
      <c r="K3" s="6">
        <f t="shared" ref="K3:K66" si="0">+(J3/C3)^(30/(I3-B3))-1</f>
        <v>1.8601265920603849E-2</v>
      </c>
      <c r="L3" s="1">
        <v>46324</v>
      </c>
      <c r="M3" s="1">
        <f>+WORKDAY.INTL(L3,-10,1,Feriados!$A$2:$A$1048576)</f>
        <v>46310</v>
      </c>
      <c r="N3">
        <f>+VLOOKUP(A3,[1]CER_implicito!$A:$G,6)</f>
        <v>794.7717459209681</v>
      </c>
      <c r="O3" s="6">
        <f t="shared" ref="O3:O66" si="1">+(N3/C3)^(30/(M3-B3))-1</f>
        <v>1.7774887395972216E-2</v>
      </c>
      <c r="P3" s="1"/>
      <c r="Q3" s="1"/>
      <c r="T3" s="1">
        <v>46507</v>
      </c>
      <c r="U3" s="1">
        <f>+WORKDAY.INTL(T3,-10,1,Feriados!$A$2:$A$1048576)</f>
        <v>46493</v>
      </c>
      <c r="V3">
        <f>+VLOOKUP(A3,[1]CER_implicito!$A:$G,5)</f>
        <v>861.91777483580768</v>
      </c>
      <c r="W3" s="6">
        <f t="shared" ref="W3:W66" si="2">+(V3/C3)^(30/(U3-B3))-1</f>
        <v>1.6218733338534408E-2</v>
      </c>
      <c r="X3" s="1"/>
      <c r="Y3" s="1"/>
      <c r="AB3" s="1"/>
      <c r="AC3" s="1"/>
      <c r="AE3" s="6"/>
      <c r="AF3" s="1"/>
      <c r="AG3" s="1"/>
      <c r="AJ3" s="1"/>
      <c r="AK3" s="1"/>
      <c r="AM3" s="6"/>
    </row>
    <row r="4" spans="1:39" x14ac:dyDescent="0.4">
      <c r="A4" s="1">
        <f>+[1]CER_implicito!$A421</f>
        <v>45975</v>
      </c>
      <c r="B4" s="1">
        <v>46006</v>
      </c>
      <c r="C4">
        <f>+VLOOKUP(B4,'Sheet1 (2)'!A:C,3)</f>
        <v>668.23432917106015</v>
      </c>
      <c r="H4" s="1">
        <v>46202</v>
      </c>
      <c r="I4" s="1">
        <f>+WORKDAY.INTL(H4,-10,1,Feriados!$A$2:$A$1048576)</f>
        <v>46184</v>
      </c>
      <c r="J4">
        <f>+VLOOKUP(A4,[1]CER_implicito!$A:$G,4)</f>
        <v>739.63155532570443</v>
      </c>
      <c r="K4" s="6">
        <f t="shared" si="0"/>
        <v>1.7256173171244837E-2</v>
      </c>
      <c r="L4" s="1">
        <v>46324</v>
      </c>
      <c r="M4" s="1">
        <f>+WORKDAY.INTL(L4,-10,1,Feriados!$A$2:$A$1048576)</f>
        <v>46310</v>
      </c>
      <c r="N4">
        <f>+VLOOKUP(A4,[1]CER_implicito!$A:$G,6)</f>
        <v>792.86687652254079</v>
      </c>
      <c r="O4" s="6">
        <f t="shared" si="1"/>
        <v>1.7019836092917684E-2</v>
      </c>
      <c r="P4" s="1"/>
      <c r="Q4" s="1"/>
      <c r="T4" s="1">
        <f t="shared" ref="T4:T67" si="3">+T3</f>
        <v>46507</v>
      </c>
      <c r="U4" s="1">
        <f t="shared" ref="U4:U67" si="4">+U3</f>
        <v>46493</v>
      </c>
      <c r="V4">
        <f>+VLOOKUP(A4,[1]CER_implicito!$A:$G,5)</f>
        <v>859.8304358003262</v>
      </c>
      <c r="W4" s="6">
        <f t="shared" si="2"/>
        <v>1.5650756107591146E-2</v>
      </c>
      <c r="X4" s="1"/>
      <c r="Y4" s="1"/>
      <c r="AB4" s="1"/>
      <c r="AC4" s="1"/>
      <c r="AE4" s="6"/>
      <c r="AF4" s="1"/>
      <c r="AG4" s="1"/>
      <c r="AJ4" s="1"/>
      <c r="AK4" s="1"/>
      <c r="AM4" s="6"/>
    </row>
    <row r="5" spans="1:39" x14ac:dyDescent="0.4">
      <c r="A5" s="1">
        <f>+[1]CER_implicito!$A422</f>
        <v>45978</v>
      </c>
      <c r="B5" s="1">
        <v>46006</v>
      </c>
      <c r="C5">
        <f>+VLOOKUP(B5,'Sheet1 (2)'!A:C,3)</f>
        <v>668.23432917106015</v>
      </c>
      <c r="H5" s="1">
        <v>46202</v>
      </c>
      <c r="I5" s="1">
        <f>+WORKDAY.INTL(H5,-10,1,Feriados!$A$2:$A$1048576)</f>
        <v>46184</v>
      </c>
      <c r="J5">
        <f>+VLOOKUP(A5,[1]CER_implicito!$A:$G,4)</f>
        <v>739.83268156065299</v>
      </c>
      <c r="K5" s="6">
        <f t="shared" si="0"/>
        <v>1.7302789255256634E-2</v>
      </c>
      <c r="L5" s="1">
        <v>46324</v>
      </c>
      <c r="M5" s="1">
        <f>+WORKDAY.INTL(L5,-10,1,Feriados!$A$2:$A$1048576)</f>
        <v>46310</v>
      </c>
      <c r="N5">
        <f>+VLOOKUP(A5,[1]CER_implicito!$A:$G,6)</f>
        <v>791.47917187418295</v>
      </c>
      <c r="O5" s="6">
        <f t="shared" si="1"/>
        <v>1.6844036987292643E-2</v>
      </c>
      <c r="P5" s="1"/>
      <c r="Q5" s="1"/>
      <c r="T5" s="1">
        <f t="shared" si="3"/>
        <v>46507</v>
      </c>
      <c r="U5" s="1">
        <f t="shared" si="4"/>
        <v>46493</v>
      </c>
      <c r="V5">
        <f>+VLOOKUP(A5,[1]CER_implicito!$A:$G,5)</f>
        <v>862.45834141469265</v>
      </c>
      <c r="W5" s="6">
        <f t="shared" si="2"/>
        <v>1.5841702577942485E-2</v>
      </c>
      <c r="X5" s="1"/>
      <c r="Y5" s="1"/>
      <c r="AB5" s="1"/>
      <c r="AC5" s="1"/>
      <c r="AE5" s="6"/>
      <c r="AF5" s="1"/>
      <c r="AG5" s="1"/>
      <c r="AJ5" s="1"/>
      <c r="AK5" s="1"/>
      <c r="AM5" s="6"/>
    </row>
    <row r="6" spans="1:39" x14ac:dyDescent="0.4">
      <c r="A6" s="1">
        <f>+[1]CER_implicito!$A423</f>
        <v>45979</v>
      </c>
      <c r="B6" s="1">
        <v>46006</v>
      </c>
      <c r="C6">
        <f>+VLOOKUP(B6,'Sheet1 (2)'!A:C,3)</f>
        <v>668.23432917106015</v>
      </c>
      <c r="H6" s="1">
        <v>46202</v>
      </c>
      <c r="I6" s="1">
        <f>+WORKDAY.INTL(H6,-10,1,Feriados!$A$2:$A$1048576)</f>
        <v>46184</v>
      </c>
      <c r="J6">
        <f>+VLOOKUP(A6,[1]CER_implicito!$A:$G,4)</f>
        <v>741.93269019392744</v>
      </c>
      <c r="K6" s="6">
        <f t="shared" si="0"/>
        <v>1.778889096949432E-2</v>
      </c>
      <c r="L6" s="1">
        <v>46324</v>
      </c>
      <c r="M6" s="1">
        <f>+WORKDAY.INTL(L6,-10,1,Feriados!$A$2:$A$1048576)</f>
        <v>46310</v>
      </c>
      <c r="N6">
        <f>+VLOOKUP(A6,[1]CER_implicito!$A:$G,6)</f>
        <v>794.62489582110516</v>
      </c>
      <c r="O6" s="6">
        <f t="shared" si="1"/>
        <v>1.7242150130191813E-2</v>
      </c>
      <c r="P6" s="1"/>
      <c r="Q6" s="1"/>
      <c r="T6" s="1">
        <f t="shared" si="3"/>
        <v>46507</v>
      </c>
      <c r="U6" s="1">
        <f t="shared" si="4"/>
        <v>46493</v>
      </c>
      <c r="V6">
        <f>+VLOOKUP(A6,[1]CER_implicito!$A:$G,5)</f>
        <v>856.13144636720381</v>
      </c>
      <c r="W6" s="6">
        <f t="shared" si="2"/>
        <v>1.5381053501329012E-2</v>
      </c>
      <c r="X6" s="1"/>
      <c r="Y6" s="1"/>
      <c r="AB6" s="1"/>
      <c r="AC6" s="1"/>
      <c r="AE6" s="6"/>
      <c r="AF6" s="1"/>
      <c r="AG6" s="1"/>
      <c r="AJ6" s="1"/>
      <c r="AK6" s="1"/>
      <c r="AM6" s="6"/>
    </row>
    <row r="7" spans="1:39" x14ac:dyDescent="0.4">
      <c r="A7" s="1">
        <f>+[1]CER_implicito!$A424</f>
        <v>45980</v>
      </c>
      <c r="B7" s="1">
        <v>46006</v>
      </c>
      <c r="C7">
        <f>+VLOOKUP(B7,'Sheet1 (2)'!A:C,3)</f>
        <v>668.23432917106015</v>
      </c>
      <c r="H7" s="1">
        <v>46202</v>
      </c>
      <c r="I7" s="1">
        <f>+WORKDAY.INTL(H7,-10,1,Feriados!$A$2:$A$1048576)</f>
        <v>46184</v>
      </c>
      <c r="J7">
        <f>+VLOOKUP(A7,[1]CER_implicito!$A:$G,4)</f>
        <v>742.37597682402657</v>
      </c>
      <c r="K7" s="6">
        <f t="shared" si="0"/>
        <v>1.7891354953171401E-2</v>
      </c>
      <c r="L7" s="1">
        <v>46324</v>
      </c>
      <c r="M7" s="1">
        <f>+WORKDAY.INTL(L7,-10,1,Feriados!$A$2:$A$1048576)</f>
        <v>46310</v>
      </c>
      <c r="N7">
        <f>+VLOOKUP(A7,[1]CER_implicito!$A:$G,6)</f>
        <v>793.9209388577242</v>
      </c>
      <c r="O7" s="6">
        <f t="shared" si="1"/>
        <v>1.7153183035340858E-2</v>
      </c>
      <c r="P7" s="1"/>
      <c r="Q7" s="1"/>
      <c r="T7" s="1">
        <f t="shared" si="3"/>
        <v>46507</v>
      </c>
      <c r="U7" s="1">
        <f t="shared" si="4"/>
        <v>46493</v>
      </c>
      <c r="V7">
        <f>+VLOOKUP(A7,[1]CER_implicito!$A:$G,5)</f>
        <v>865.91609608485498</v>
      </c>
      <c r="W7" s="6">
        <f t="shared" si="2"/>
        <v>1.609211667365229E-2</v>
      </c>
      <c r="X7" s="1"/>
      <c r="Y7" s="1"/>
      <c r="AB7" s="1"/>
      <c r="AC7" s="1"/>
      <c r="AE7" s="6"/>
      <c r="AF7" s="1"/>
      <c r="AG7" s="1"/>
      <c r="AJ7" s="1"/>
      <c r="AK7" s="1"/>
      <c r="AM7" s="6"/>
    </row>
    <row r="8" spans="1:39" x14ac:dyDescent="0.4">
      <c r="A8" s="1">
        <f>+[1]CER_implicito!$A425</f>
        <v>45981</v>
      </c>
      <c r="B8" s="1">
        <v>46006</v>
      </c>
      <c r="C8">
        <f>+VLOOKUP(B8,'Sheet1 (2)'!A:C,3)</f>
        <v>668.23432917106015</v>
      </c>
      <c r="H8" s="1">
        <v>46202</v>
      </c>
      <c r="I8" s="1">
        <f>+WORKDAY.INTL(H8,-10,1,Feriados!$A$2:$A$1048576)</f>
        <v>46184</v>
      </c>
      <c r="J8">
        <f>+VLOOKUP(A8,[1]CER_implicito!$A:$G,4)</f>
        <v>747.89722193292448</v>
      </c>
      <c r="K8" s="6">
        <f t="shared" si="0"/>
        <v>1.9163325357004268E-2</v>
      </c>
      <c r="L8" s="1">
        <v>46324</v>
      </c>
      <c r="M8" s="1">
        <f>+WORKDAY.INTL(L8,-10,1,Feriados!$A$2:$A$1048576)</f>
        <v>46310</v>
      </c>
      <c r="N8">
        <f>+VLOOKUP(A8,[1]CER_implicito!$A:$G,6)</f>
        <v>797.36193716420462</v>
      </c>
      <c r="O8" s="6">
        <f t="shared" si="1"/>
        <v>1.7587387670818577E-2</v>
      </c>
      <c r="P8" s="1"/>
      <c r="Q8" s="1"/>
      <c r="T8" s="1">
        <f t="shared" si="3"/>
        <v>46507</v>
      </c>
      <c r="U8" s="1">
        <f t="shared" si="4"/>
        <v>46493</v>
      </c>
      <c r="V8">
        <f>+VLOOKUP(A8,[1]CER_implicito!$A:$G,5)</f>
        <v>867.98852238249083</v>
      </c>
      <c r="W8" s="6">
        <f t="shared" si="2"/>
        <v>1.6241754518930174E-2</v>
      </c>
      <c r="X8" s="1"/>
      <c r="Y8" s="1"/>
      <c r="AB8" s="1"/>
      <c r="AC8" s="1"/>
      <c r="AE8" s="6"/>
      <c r="AF8" s="1"/>
      <c r="AG8" s="1"/>
      <c r="AJ8" s="1"/>
      <c r="AK8" s="1"/>
      <c r="AM8" s="6"/>
    </row>
    <row r="9" spans="1:39" x14ac:dyDescent="0.4">
      <c r="A9" s="1">
        <f>+[1]CER_implicito!$A426</f>
        <v>45982</v>
      </c>
      <c r="B9" s="1">
        <v>46006</v>
      </c>
      <c r="C9">
        <f>+VLOOKUP(B9,'Sheet1 (2)'!A:C,3)</f>
        <v>668.23432917106015</v>
      </c>
      <c r="H9" s="1">
        <v>46202</v>
      </c>
      <c r="I9" s="1">
        <f>+WORKDAY.INTL(H9,-10,1,Feriados!$A$2:$A$1048576)</f>
        <v>46184</v>
      </c>
      <c r="J9">
        <f>+VLOOKUP(A9,[1]CER_implicito!$A:$G,4)</f>
        <v>0</v>
      </c>
      <c r="K9" s="6">
        <f t="shared" si="0"/>
        <v>-1</v>
      </c>
      <c r="L9" s="1">
        <v>46324</v>
      </c>
      <c r="M9" s="1">
        <f>+WORKDAY.INTL(L9,-10,1,Feriados!$A$2:$A$1048576)</f>
        <v>46310</v>
      </c>
      <c r="N9">
        <f>+VLOOKUP(A9,[1]CER_implicito!$A:$G,6)</f>
        <v>0</v>
      </c>
      <c r="O9" s="6">
        <f t="shared" si="1"/>
        <v>-1</v>
      </c>
      <c r="P9" s="1"/>
      <c r="Q9" s="1"/>
      <c r="T9" s="1">
        <f t="shared" si="3"/>
        <v>46507</v>
      </c>
      <c r="U9" s="1">
        <f t="shared" si="4"/>
        <v>46493</v>
      </c>
      <c r="V9">
        <f>+VLOOKUP(A9,[1]CER_implicito!$A:$G,5)</f>
        <v>0</v>
      </c>
      <c r="W9" s="6">
        <f t="shared" si="2"/>
        <v>-1</v>
      </c>
      <c r="X9" s="1"/>
      <c r="Y9" s="1"/>
      <c r="AB9" s="1"/>
      <c r="AC9" s="1"/>
      <c r="AE9" s="6"/>
      <c r="AF9" s="1"/>
      <c r="AG9" s="1"/>
      <c r="AJ9" s="1"/>
      <c r="AK9" s="1"/>
      <c r="AM9" s="6"/>
    </row>
    <row r="10" spans="1:39" x14ac:dyDescent="0.4">
      <c r="A10" s="1">
        <f>+[1]CER_implicito!$A427</f>
        <v>45986</v>
      </c>
      <c r="B10" s="1">
        <v>46006</v>
      </c>
      <c r="C10">
        <f>+VLOOKUP(B10,'Sheet1 (2)'!A:C,3)</f>
        <v>668.23432917106015</v>
      </c>
      <c r="H10" s="1">
        <v>46202</v>
      </c>
      <c r="I10" s="1">
        <f>+WORKDAY.INTL(H10,-10,1,Feriados!$A$2:$A$1048576)</f>
        <v>46184</v>
      </c>
      <c r="J10">
        <f>+VLOOKUP(A10,[1]CER_implicito!$A:$G,4)</f>
        <v>746.362659142246</v>
      </c>
      <c r="K10" s="6">
        <f t="shared" si="0"/>
        <v>1.8810582240825102E-2</v>
      </c>
      <c r="L10" s="1">
        <v>46324</v>
      </c>
      <c r="M10" s="1">
        <f>+WORKDAY.INTL(L10,-10,1,Feriados!$A$2:$A$1048576)</f>
        <v>46310</v>
      </c>
      <c r="N10">
        <f>+VLOOKUP(A10,[1]CER_implicito!$A:$G,6)</f>
        <v>793.73990945829075</v>
      </c>
      <c r="O10" s="6">
        <f t="shared" si="1"/>
        <v>1.7130292786190937E-2</v>
      </c>
      <c r="P10" s="1"/>
      <c r="Q10" s="1"/>
      <c r="T10" s="1">
        <f t="shared" si="3"/>
        <v>46507</v>
      </c>
      <c r="U10" s="1">
        <f t="shared" si="4"/>
        <v>46493</v>
      </c>
      <c r="V10">
        <f>+VLOOKUP(A10,[1]CER_implicito!$A:$G,5)</f>
        <v>868.10670868401155</v>
      </c>
      <c r="W10" s="6">
        <f t="shared" si="2"/>
        <v>1.6250277955706549E-2</v>
      </c>
      <c r="X10" s="1"/>
      <c r="Y10" s="1"/>
      <c r="AB10" s="1"/>
      <c r="AC10" s="1"/>
      <c r="AE10" s="6"/>
      <c r="AF10" s="1"/>
      <c r="AG10" s="1"/>
      <c r="AJ10" s="1"/>
      <c r="AK10" s="1"/>
      <c r="AM10" s="6"/>
    </row>
    <row r="11" spans="1:39" x14ac:dyDescent="0.4">
      <c r="A11" s="1">
        <f>+[1]CER_implicito!$A428</f>
        <v>45987</v>
      </c>
      <c r="B11" s="1">
        <v>46006</v>
      </c>
      <c r="C11">
        <f>+VLOOKUP(B11,'Sheet1 (2)'!A:C,3)</f>
        <v>668.23432917106015</v>
      </c>
      <c r="H11" s="1">
        <v>46202</v>
      </c>
      <c r="I11" s="1">
        <f>+WORKDAY.INTL(H11,-10,1,Feriados!$A$2:$A$1048576)</f>
        <v>46184</v>
      </c>
      <c r="J11">
        <f>+VLOOKUP(A11,[1]CER_implicito!$A:$G,4)</f>
        <v>747.72902088868545</v>
      </c>
      <c r="K11" s="6">
        <f t="shared" si="0"/>
        <v>1.9124691113192815E-2</v>
      </c>
      <c r="L11" s="1">
        <v>46324</v>
      </c>
      <c r="M11" s="1">
        <f>+WORKDAY.INTL(L11,-10,1,Feriados!$A$2:$A$1048576)</f>
        <v>46310</v>
      </c>
      <c r="N11">
        <f>+VLOOKUP(A11,[1]CER_implicito!$A:$G,6)</f>
        <v>795.84696186041663</v>
      </c>
      <c r="O11" s="6">
        <f t="shared" si="1"/>
        <v>1.7396428029570643E-2</v>
      </c>
      <c r="P11" s="1"/>
      <c r="Q11" s="1"/>
      <c r="T11" s="1">
        <f t="shared" si="3"/>
        <v>46507</v>
      </c>
      <c r="U11" s="1">
        <f t="shared" si="4"/>
        <v>46493</v>
      </c>
      <c r="V11">
        <f>+VLOOKUP(A11,[1]CER_implicito!$A:$G,5)</f>
        <v>869.0018873598716</v>
      </c>
      <c r="W11" s="6">
        <f t="shared" si="2"/>
        <v>1.6314801698395165E-2</v>
      </c>
      <c r="X11" s="1"/>
      <c r="Y11" s="1"/>
      <c r="AB11" s="1"/>
      <c r="AC11" s="1"/>
      <c r="AE11" s="6"/>
      <c r="AF11" s="1"/>
      <c r="AG11" s="1"/>
      <c r="AJ11" s="1"/>
      <c r="AK11" s="1"/>
      <c r="AM11" s="6"/>
    </row>
    <row r="12" spans="1:39" x14ac:dyDescent="0.4">
      <c r="A12" s="1">
        <f>+[1]CER_implicito!$A429</f>
        <v>45988</v>
      </c>
      <c r="B12" s="1">
        <v>46006</v>
      </c>
      <c r="C12">
        <f>+VLOOKUP(B12,'Sheet1 (2)'!A:C,3)</f>
        <v>668.23432917106015</v>
      </c>
      <c r="H12" s="1">
        <v>46202</v>
      </c>
      <c r="I12" s="1">
        <f>+WORKDAY.INTL(H12,-10,1,Feriados!$A$2:$A$1048576)</f>
        <v>46184</v>
      </c>
      <c r="J12">
        <f>+VLOOKUP(A12,[1]CER_implicito!$A:$G,4)</f>
        <v>747.91627048208147</v>
      </c>
      <c r="K12" s="6">
        <f t="shared" si="0"/>
        <v>1.9167700179373748E-2</v>
      </c>
      <c r="L12" s="1">
        <v>46324</v>
      </c>
      <c r="M12" s="1">
        <f>+WORKDAY.INTL(L12,-10,1,Feriados!$A$2:$A$1048576)</f>
        <v>46310</v>
      </c>
      <c r="N12">
        <f>+VLOOKUP(A12,[1]CER_implicito!$A:$G,6)</f>
        <v>794.73772828722076</v>
      </c>
      <c r="O12" s="6">
        <f t="shared" si="1"/>
        <v>1.7256403453679736E-2</v>
      </c>
      <c r="P12" s="1"/>
      <c r="Q12" s="1"/>
      <c r="T12" s="1">
        <f>+T11</f>
        <v>46507</v>
      </c>
      <c r="U12" s="1">
        <f>+U11</f>
        <v>46493</v>
      </c>
      <c r="V12">
        <f>+VLOOKUP(A12,[1]CER_implicito!$A:$G,5)</f>
        <v>867.9118903489034</v>
      </c>
      <c r="W12" s="6">
        <f t="shared" si="2"/>
        <v>1.6236227337921072E-2</v>
      </c>
      <c r="X12" s="1"/>
      <c r="Y12" s="1"/>
      <c r="AB12" s="1"/>
      <c r="AC12" s="1"/>
      <c r="AE12" s="6"/>
      <c r="AF12" s="1"/>
      <c r="AG12" s="1"/>
      <c r="AJ12" s="1"/>
      <c r="AK12" s="1"/>
      <c r="AM12" s="6"/>
    </row>
    <row r="13" spans="1:39" x14ac:dyDescent="0.4">
      <c r="A13" s="1">
        <f>+[1]CER_implicito!$A430</f>
        <v>45989</v>
      </c>
      <c r="B13" s="1">
        <v>46006</v>
      </c>
      <c r="C13">
        <f>+VLOOKUP(B13,'Sheet1 (2)'!A:C,3)</f>
        <v>668.23432917106015</v>
      </c>
      <c r="H13" s="1">
        <v>46202</v>
      </c>
      <c r="I13" s="1">
        <f>+WORKDAY.INTL(H13,-10,1,Feriados!$A$2:$A$1048576)</f>
        <v>46184</v>
      </c>
      <c r="J13">
        <f>+VLOOKUP(A13,[1]CER_implicito!$A:$G,4)</f>
        <v>747.61499667007433</v>
      </c>
      <c r="K13" s="6">
        <f t="shared" si="0"/>
        <v>1.9098496681626553E-2</v>
      </c>
      <c r="L13" s="1">
        <v>46324</v>
      </c>
      <c r="M13" s="1">
        <f>+WORKDAY.INTL(L13,-10,1,Feriados!$A$2:$A$1048576)</f>
        <v>46310</v>
      </c>
      <c r="N13">
        <f>+VLOOKUP(A13,[1]CER_implicito!$A:$G,6)</f>
        <v>790.63388467348977</v>
      </c>
      <c r="O13" s="6">
        <f t="shared" si="1"/>
        <v>1.6736816954739497E-2</v>
      </c>
      <c r="P13" s="1"/>
      <c r="Q13" s="1"/>
      <c r="T13" s="1">
        <f t="shared" si="3"/>
        <v>46507</v>
      </c>
      <c r="U13" s="1">
        <f t="shared" si="4"/>
        <v>46493</v>
      </c>
      <c r="V13">
        <f>+VLOOKUP(A13,[1]CER_implicito!$A:$G,5)</f>
        <v>864.29714086524768</v>
      </c>
      <c r="W13" s="6">
        <f t="shared" si="2"/>
        <v>1.5974987340381164E-2</v>
      </c>
      <c r="X13" s="1"/>
      <c r="Y13" s="1"/>
      <c r="AB13" s="1"/>
      <c r="AC13" s="1"/>
      <c r="AE13" s="6"/>
      <c r="AF13" s="1"/>
      <c r="AG13" s="1"/>
      <c r="AJ13" s="1"/>
      <c r="AK13" s="1"/>
      <c r="AM13" s="6"/>
    </row>
    <row r="14" spans="1:39" x14ac:dyDescent="0.4">
      <c r="A14" s="1">
        <f>+[1]CER_implicito!$A431</f>
        <v>45992</v>
      </c>
      <c r="B14" s="1">
        <v>46006</v>
      </c>
      <c r="C14">
        <f>+VLOOKUP(B14,'Sheet1 (2)'!A:C,3)</f>
        <v>668.23432917106015</v>
      </c>
      <c r="H14" s="1">
        <v>46202</v>
      </c>
      <c r="I14" s="1">
        <f>+WORKDAY.INTL(H14,-10,1,Feriados!$A$2:$A$1048576)</f>
        <v>46184</v>
      </c>
      <c r="J14">
        <f>+VLOOKUP(A14,[1]CER_implicito!$A:$G,4)</f>
        <v>743.8800760190793</v>
      </c>
      <c r="K14" s="6">
        <f t="shared" si="0"/>
        <v>1.8238642924477633E-2</v>
      </c>
      <c r="L14" s="1">
        <v>46324</v>
      </c>
      <c r="M14" s="1">
        <f>+WORKDAY.INTL(L14,-10,1,Feriados!$A$2:$A$1048576)</f>
        <v>46310</v>
      </c>
      <c r="N14">
        <f>+VLOOKUP(A14,[1]CER_implicito!$A:$G,6)</f>
        <v>790.85122612211637</v>
      </c>
      <c r="O14" s="6">
        <f t="shared" si="1"/>
        <v>1.6764395386045683E-2</v>
      </c>
      <c r="P14" s="1"/>
      <c r="Q14" s="1"/>
      <c r="T14" s="1">
        <f t="shared" si="3"/>
        <v>46507</v>
      </c>
      <c r="U14" s="1">
        <f t="shared" si="4"/>
        <v>46493</v>
      </c>
      <c r="V14">
        <f>+VLOOKUP(A14,[1]CER_implicito!$A:$G,5)</f>
        <v>862.735340914532</v>
      </c>
      <c r="W14" s="6">
        <f t="shared" si="2"/>
        <v>1.5861797843598424E-2</v>
      </c>
      <c r="X14" s="1"/>
      <c r="Y14" s="1"/>
      <c r="AB14" s="1"/>
      <c r="AC14" s="1"/>
      <c r="AE14" s="6"/>
      <c r="AF14" s="1"/>
      <c r="AG14" s="1"/>
      <c r="AJ14" s="1"/>
      <c r="AK14" s="1"/>
      <c r="AM14" s="6"/>
    </row>
    <row r="15" spans="1:39" x14ac:dyDescent="0.4">
      <c r="A15" s="1">
        <f>+[1]CER_implicito!$A432</f>
        <v>45993</v>
      </c>
      <c r="B15" s="1">
        <v>46006</v>
      </c>
      <c r="C15">
        <f>+VLOOKUP(B15,'Sheet1 (2)'!A:C,3)</f>
        <v>668.23432917106015</v>
      </c>
      <c r="H15" s="1">
        <v>46202</v>
      </c>
      <c r="I15" s="1">
        <f>+WORKDAY.INTL(H15,-10,1,Feriados!$A$2:$A$1048576)</f>
        <v>46184</v>
      </c>
      <c r="J15">
        <f>+VLOOKUP(A15,[1]CER_implicito!$A:$G,4)</f>
        <v>742.60706864701979</v>
      </c>
      <c r="K15" s="6">
        <f t="shared" si="0"/>
        <v>1.7944750759791184E-2</v>
      </c>
      <c r="L15" s="1">
        <v>46324</v>
      </c>
      <c r="M15" s="1">
        <f>+WORKDAY.INTL(L15,-10,1,Feriados!$A$2:$A$1048576)</f>
        <v>46310</v>
      </c>
      <c r="N15">
        <f>+VLOOKUP(A15,[1]CER_implicito!$A:$G,6)</f>
        <v>790.72969012545752</v>
      </c>
      <c r="O15" s="6">
        <f t="shared" si="1"/>
        <v>1.6748974539522177E-2</v>
      </c>
      <c r="P15" s="1"/>
      <c r="Q15" s="1"/>
      <c r="T15" s="1">
        <f t="shared" si="3"/>
        <v>46507</v>
      </c>
      <c r="U15" s="1">
        <f t="shared" si="4"/>
        <v>46493</v>
      </c>
      <c r="V15">
        <f>+VLOOKUP(A15,[1]CER_implicito!$A:$G,5)</f>
        <v>860.14172362117756</v>
      </c>
      <c r="W15" s="6">
        <f t="shared" si="2"/>
        <v>1.5673403189145896E-2</v>
      </c>
      <c r="X15" s="1"/>
      <c r="Y15" s="1"/>
      <c r="AB15" s="1"/>
      <c r="AC15" s="1"/>
      <c r="AE15" s="6"/>
      <c r="AF15" s="1"/>
      <c r="AG15" s="1"/>
      <c r="AJ15" s="1"/>
      <c r="AK15" s="1"/>
      <c r="AM15" s="6"/>
    </row>
    <row r="16" spans="1:39" x14ac:dyDescent="0.4">
      <c r="A16" s="1">
        <f>+[1]CER_implicito!$A433</f>
        <v>45994</v>
      </c>
      <c r="B16" s="1">
        <v>46006</v>
      </c>
      <c r="C16">
        <f>+VLOOKUP(B16,'Sheet1 (2)'!A:C,3)</f>
        <v>668.23432917106015</v>
      </c>
      <c r="H16" s="1">
        <v>46202</v>
      </c>
      <c r="I16" s="1">
        <f>+WORKDAY.INTL(H16,-10,1,Feriados!$A$2:$A$1048576)</f>
        <v>46184</v>
      </c>
      <c r="J16">
        <f>+VLOOKUP(A16,[1]CER_implicito!$A:$G,4)</f>
        <v>742.67251435811374</v>
      </c>
      <c r="K16" s="6">
        <f t="shared" si="0"/>
        <v>1.7959870058954053E-2</v>
      </c>
      <c r="L16" s="1">
        <v>46324</v>
      </c>
      <c r="M16" s="1">
        <f>+WORKDAY.INTL(L16,-10,1,Feriados!$A$2:$A$1048576)</f>
        <v>46310</v>
      </c>
      <c r="N16">
        <f>+VLOOKUP(A16,[1]CER_implicito!$A:$G,6)</f>
        <v>790.80376290378092</v>
      </c>
      <c r="O16" s="6">
        <f t="shared" si="1"/>
        <v>1.6758373366813517E-2</v>
      </c>
      <c r="P16" s="1"/>
      <c r="Q16" s="1"/>
      <c r="T16" s="1">
        <f t="shared" si="3"/>
        <v>46507</v>
      </c>
      <c r="U16" s="1">
        <f t="shared" si="4"/>
        <v>46493</v>
      </c>
      <c r="V16">
        <f>+VLOOKUP(A16,[1]CER_implicito!$A:$G,5)</f>
        <v>859.899380201903</v>
      </c>
      <c r="W16" s="6">
        <f t="shared" si="2"/>
        <v>1.5655772673743185E-2</v>
      </c>
      <c r="X16" s="1"/>
      <c r="Y16" s="1"/>
      <c r="AB16" s="1"/>
      <c r="AC16" s="1"/>
      <c r="AE16" s="6"/>
      <c r="AF16" s="1"/>
      <c r="AG16" s="1"/>
      <c r="AJ16" s="1"/>
      <c r="AK16" s="1"/>
      <c r="AM16" s="6"/>
    </row>
    <row r="17" spans="1:39" x14ac:dyDescent="0.4">
      <c r="A17" s="1">
        <f>+[1]CER_implicito!$A434</f>
        <v>45995</v>
      </c>
      <c r="B17" s="1">
        <v>46006</v>
      </c>
      <c r="C17">
        <f>+VLOOKUP(B17,'Sheet1 (2)'!A:C,3)</f>
        <v>668.23432917106015</v>
      </c>
      <c r="H17" s="1">
        <v>46202</v>
      </c>
      <c r="I17" s="1">
        <f>+WORKDAY.INTL(H17,-10,1,Feriados!$A$2:$A$1048576)</f>
        <v>46184</v>
      </c>
      <c r="J17">
        <f>+VLOOKUP(A17,[1]CER_implicito!$A:$G,4)</f>
        <v>743.16298087727159</v>
      </c>
      <c r="K17" s="6">
        <f t="shared" si="0"/>
        <v>1.8073142620183669E-2</v>
      </c>
      <c r="L17" s="1">
        <v>46324</v>
      </c>
      <c r="M17" s="1">
        <f>+WORKDAY.INTL(L17,-10,1,Feriados!$A$2:$A$1048576)</f>
        <v>46310</v>
      </c>
      <c r="N17">
        <f>+VLOOKUP(A17,[1]CER_implicito!$A:$G,6)</f>
        <v>796.18397637807971</v>
      </c>
      <c r="O17" s="6">
        <f t="shared" si="1"/>
        <v>1.7438936361256818E-2</v>
      </c>
      <c r="P17" s="1"/>
      <c r="Q17" s="1"/>
      <c r="T17" s="1">
        <f t="shared" si="3"/>
        <v>46507</v>
      </c>
      <c r="U17" s="1">
        <f t="shared" si="4"/>
        <v>46493</v>
      </c>
      <c r="V17">
        <f>+VLOOKUP(A17,[1]CER_implicito!$A:$G,5)</f>
        <v>860.9504614574081</v>
      </c>
      <c r="W17" s="6">
        <f t="shared" si="2"/>
        <v>1.5732205257369847E-2</v>
      </c>
      <c r="X17" s="1"/>
      <c r="Y17" s="1"/>
      <c r="AB17" s="1"/>
      <c r="AC17" s="1"/>
      <c r="AE17" s="6"/>
      <c r="AF17" s="1"/>
      <c r="AG17" s="1"/>
      <c r="AJ17" s="1"/>
      <c r="AK17" s="1"/>
      <c r="AM17" s="6"/>
    </row>
    <row r="18" spans="1:39" x14ac:dyDescent="0.4">
      <c r="A18" s="1">
        <f>+[1]CER_implicito!$A435</f>
        <v>45996</v>
      </c>
      <c r="B18" s="1">
        <v>46006</v>
      </c>
      <c r="C18">
        <f>+VLOOKUP(B18,'Sheet1 (2)'!A:C,3)</f>
        <v>668.23432917106015</v>
      </c>
      <c r="H18" s="1">
        <v>46202</v>
      </c>
      <c r="I18" s="1">
        <f>+WORKDAY.INTL(H18,-10,1,Feriados!$A$2:$A$1048576)</f>
        <v>46184</v>
      </c>
      <c r="J18">
        <f>+VLOOKUP(A18,[1]CER_implicito!$A:$G,4)</f>
        <v>744.83834043459967</v>
      </c>
      <c r="K18" s="6">
        <f t="shared" si="0"/>
        <v>1.8459596380510312E-2</v>
      </c>
      <c r="L18" s="1">
        <v>46324</v>
      </c>
      <c r="M18" s="1">
        <f>+WORKDAY.INTL(L18,-10,1,Feriados!$A$2:$A$1048576)</f>
        <v>46310</v>
      </c>
      <c r="N18">
        <f>+VLOOKUP(A18,[1]CER_implicito!$A:$G,6)</f>
        <v>791.82904712208403</v>
      </c>
      <c r="O18" s="6">
        <f t="shared" si="1"/>
        <v>1.688838653996072E-2</v>
      </c>
      <c r="P18" s="1"/>
      <c r="Q18" s="1"/>
      <c r="T18" s="1">
        <f t="shared" si="3"/>
        <v>46507</v>
      </c>
      <c r="U18" s="1">
        <f t="shared" si="4"/>
        <v>46493</v>
      </c>
      <c r="V18">
        <f>+VLOOKUP(A18,[1]CER_implicito!$A:$G,5)</f>
        <v>863.07872078908247</v>
      </c>
      <c r="W18" s="6">
        <f t="shared" si="2"/>
        <v>1.5886700351181116E-2</v>
      </c>
      <c r="X18" s="1"/>
      <c r="Y18" s="1"/>
      <c r="AB18" s="1"/>
      <c r="AC18" s="1"/>
      <c r="AE18" s="6"/>
      <c r="AF18" s="1"/>
      <c r="AG18" s="1"/>
      <c r="AJ18" s="1"/>
      <c r="AK18" s="1"/>
      <c r="AM18" s="6"/>
    </row>
    <row r="19" spans="1:39" x14ac:dyDescent="0.4">
      <c r="A19" s="1">
        <f>+[1]CER_implicito!$A436</f>
        <v>46000</v>
      </c>
      <c r="B19" s="1">
        <v>46006</v>
      </c>
      <c r="C19">
        <f>+VLOOKUP(B19,'Sheet1 (2)'!A:C,3)</f>
        <v>668.23432917106015</v>
      </c>
      <c r="H19" s="1">
        <v>46202</v>
      </c>
      <c r="I19" s="1">
        <f>+WORKDAY.INTL(H19,-10,1,Feriados!$A$2:$A$1048576)</f>
        <v>46184</v>
      </c>
      <c r="J19">
        <f>+VLOOKUP(A19,[1]CER_implicito!$A:$G,4)</f>
        <v>743.48630498485431</v>
      </c>
      <c r="K19" s="6">
        <f t="shared" si="0"/>
        <v>1.814777988498073E-2</v>
      </c>
      <c r="L19" s="1">
        <v>46324</v>
      </c>
      <c r="M19" s="1">
        <f>+WORKDAY.INTL(L19,-10,1,Feriados!$A$2:$A$1048576)</f>
        <v>46310</v>
      </c>
      <c r="N19">
        <f>+VLOOKUP(A19,[1]CER_implicito!$A:$G,6)</f>
        <v>788.21417516262682</v>
      </c>
      <c r="O19" s="6">
        <f t="shared" si="1"/>
        <v>1.6429317911454744E-2</v>
      </c>
      <c r="P19" s="1"/>
      <c r="Q19" s="1"/>
      <c r="T19" s="1">
        <f t="shared" si="3"/>
        <v>46507</v>
      </c>
      <c r="U19" s="1">
        <f t="shared" si="4"/>
        <v>46493</v>
      </c>
      <c r="V19">
        <f>+VLOOKUP(A19,[1]CER_implicito!$A:$G,5)</f>
        <v>860.48743596882241</v>
      </c>
      <c r="W19" s="6">
        <f t="shared" si="2"/>
        <v>1.5698545741493319E-2</v>
      </c>
      <c r="X19" s="1"/>
      <c r="Y19" s="1"/>
      <c r="AB19" s="1"/>
      <c r="AC19" s="1"/>
      <c r="AE19" s="6"/>
      <c r="AF19" s="1"/>
      <c r="AG19" s="1"/>
      <c r="AJ19" s="1"/>
      <c r="AK19" s="1"/>
      <c r="AM19" s="6"/>
    </row>
    <row r="20" spans="1:39" x14ac:dyDescent="0.4">
      <c r="A20" s="1">
        <f>+[1]CER_implicito!$A437</f>
        <v>46001</v>
      </c>
      <c r="B20" s="1">
        <v>46006</v>
      </c>
      <c r="C20">
        <f>+VLOOKUP(B20,'Sheet1 (2)'!A:C,3)</f>
        <v>668.23432917106015</v>
      </c>
      <c r="H20" s="1">
        <v>46202</v>
      </c>
      <c r="I20" s="1">
        <f>+WORKDAY.INTL(H20,-10,1,Feriados!$A$2:$A$1048576)</f>
        <v>46184</v>
      </c>
      <c r="J20">
        <f>+VLOOKUP(A20,[1]CER_implicito!$A:$G,4)</f>
        <v>742.57359928440235</v>
      </c>
      <c r="K20" s="6">
        <f t="shared" si="0"/>
        <v>1.7937018223621592E-2</v>
      </c>
      <c r="L20" s="1">
        <v>46324</v>
      </c>
      <c r="M20" s="1">
        <f>+WORKDAY.INTL(L20,-10,1,Feriados!$A$2:$A$1048576)</f>
        <v>46310</v>
      </c>
      <c r="N20">
        <f>+VLOOKUP(A20,[1]CER_implicito!$A:$G,6)</f>
        <v>785.84933256821898</v>
      </c>
      <c r="O20" s="6">
        <f t="shared" si="1"/>
        <v>1.6127968201431031E-2</v>
      </c>
      <c r="P20" s="1"/>
      <c r="Q20" s="1"/>
      <c r="T20" s="1">
        <f t="shared" si="3"/>
        <v>46507</v>
      </c>
      <c r="U20" s="1">
        <f t="shared" si="4"/>
        <v>46493</v>
      </c>
      <c r="V20">
        <f>+VLOOKUP(A20,[1]CER_implicito!$A:$G,5)</f>
        <v>860.58681907711741</v>
      </c>
      <c r="W20" s="6">
        <f t="shared" si="2"/>
        <v>1.5705771802644986E-2</v>
      </c>
      <c r="X20" s="1"/>
      <c r="Y20" s="1"/>
      <c r="AB20" s="1"/>
      <c r="AC20" s="1"/>
      <c r="AE20" s="6"/>
      <c r="AF20" s="1"/>
      <c r="AG20" s="1"/>
      <c r="AJ20" s="1"/>
      <c r="AK20" s="1"/>
      <c r="AM20" s="6"/>
    </row>
    <row r="21" spans="1:39" x14ac:dyDescent="0.4">
      <c r="A21" s="1">
        <f>+[1]CER_implicito!$A438</f>
        <v>46002</v>
      </c>
      <c r="B21" s="1">
        <v>46006</v>
      </c>
      <c r="C21">
        <f>+VLOOKUP(B21,'Sheet1 (2)'!A:C,3)</f>
        <v>668.23432917106015</v>
      </c>
      <c r="H21" s="1">
        <v>46202</v>
      </c>
      <c r="I21" s="1">
        <f>+WORKDAY.INTL(H21,-10,1,Feriados!$A$2:$A$1048576)</f>
        <v>46184</v>
      </c>
      <c r="J21">
        <f>+VLOOKUP(A21,[1]CER_implicito!$A:$G,4)</f>
        <v>745.72209668760934</v>
      </c>
      <c r="K21" s="6">
        <f t="shared" si="0"/>
        <v>1.8663160584826199E-2</v>
      </c>
      <c r="L21" s="1">
        <v>46324</v>
      </c>
      <c r="M21" s="1">
        <f>+WORKDAY.INTL(L21,-10,1,Feriados!$A$2:$A$1048576)</f>
        <v>46310</v>
      </c>
      <c r="N21">
        <f>+VLOOKUP(A21,[1]CER_implicito!$A:$G,6)</f>
        <v>786.86072577070343</v>
      </c>
      <c r="O21" s="6">
        <f t="shared" si="1"/>
        <v>1.6256948999479715E-2</v>
      </c>
      <c r="P21" s="1">
        <v>46171</v>
      </c>
      <c r="Q21" s="1">
        <f>+WORKDAY.INTL(P21,-10,1,Feriados!$A$2:$A$1048576)</f>
        <v>46156</v>
      </c>
      <c r="R21">
        <f>+VLOOKUP(A21,[1]CER_implicito!$A:$G,7)</f>
        <v>734.20924204000266</v>
      </c>
      <c r="S21" s="6">
        <f t="shared" ref="S21:S83" si="5">+(R21/C21)^(30/(Q21-B21))-1</f>
        <v>1.9009452999122933E-2</v>
      </c>
      <c r="T21" s="1">
        <f t="shared" si="3"/>
        <v>46507</v>
      </c>
      <c r="U21" s="1">
        <f t="shared" si="4"/>
        <v>46493</v>
      </c>
      <c r="V21">
        <f>+VLOOKUP(A21,[1]CER_implicito!$A:$G,5)</f>
        <v>862.52293081376422</v>
      </c>
      <c r="W21" s="6">
        <f t="shared" si="2"/>
        <v>1.5846388835871972E-2</v>
      </c>
      <c r="X21" s="1"/>
      <c r="Y21" s="1"/>
      <c r="AA21" s="6"/>
      <c r="AB21" s="1"/>
      <c r="AC21" s="1"/>
      <c r="AE21" s="6"/>
      <c r="AF21" s="1"/>
      <c r="AG21" s="1"/>
      <c r="AI21" s="6"/>
      <c r="AJ21" s="1"/>
      <c r="AK21" s="1"/>
      <c r="AM21" s="6"/>
    </row>
    <row r="22" spans="1:39" x14ac:dyDescent="0.4">
      <c r="A22" s="1">
        <f>+[1]CER_implicito!$A439</f>
        <v>46003</v>
      </c>
      <c r="B22" s="1">
        <v>46006</v>
      </c>
      <c r="C22">
        <f>+VLOOKUP(B22,'Sheet1 (2)'!A:C,3)</f>
        <v>668.23432917106015</v>
      </c>
      <c r="H22" s="1">
        <v>46202</v>
      </c>
      <c r="I22" s="1">
        <f>+WORKDAY.INTL(H22,-10,1,Feriados!$A$2:$A$1048576)</f>
        <v>46184</v>
      </c>
      <c r="J22">
        <f>+VLOOKUP(A22,[1]CER_implicito!$A:$G,4)</f>
        <v>748.74002078146918</v>
      </c>
      <c r="K22" s="6">
        <f t="shared" si="0"/>
        <v>1.9356799836007799E-2</v>
      </c>
      <c r="L22" s="1">
        <v>46324</v>
      </c>
      <c r="M22" s="1">
        <f>+WORKDAY.INTL(L22,-10,1,Feriados!$A$2:$A$1048576)</f>
        <v>46310</v>
      </c>
      <c r="N22">
        <f>+VLOOKUP(A22,[1]CER_implicito!$A:$G,6)</f>
        <v>787.72295977869101</v>
      </c>
      <c r="O22" s="6">
        <f t="shared" si="1"/>
        <v>1.6366789905950974E-2</v>
      </c>
      <c r="P22" s="1">
        <v>46171</v>
      </c>
      <c r="Q22" s="1">
        <f>+WORKDAY.INTL(P22,-10,1,Feriados!$A$2:$A$1048576)</f>
        <v>46156</v>
      </c>
      <c r="R22">
        <f>+VLOOKUP(A22,[1]CER_implicito!$A:$G,7)</f>
        <v>736.06313252517032</v>
      </c>
      <c r="S22" s="6">
        <f t="shared" si="5"/>
        <v>1.9523537178670614E-2</v>
      </c>
      <c r="T22" s="1">
        <f t="shared" si="3"/>
        <v>46507</v>
      </c>
      <c r="U22" s="1">
        <f t="shared" si="4"/>
        <v>46493</v>
      </c>
      <c r="V22">
        <f>+VLOOKUP(A22,[1]CER_implicito!$A:$G,5)</f>
        <v>862.37512988742731</v>
      </c>
      <c r="W22" s="6">
        <f t="shared" si="2"/>
        <v>1.583566471350073E-2</v>
      </c>
      <c r="X22" s="1"/>
      <c r="Y22" s="1"/>
      <c r="AA22" s="6"/>
      <c r="AB22" s="1"/>
      <c r="AC22" s="1"/>
      <c r="AE22" s="6"/>
      <c r="AF22" s="1"/>
      <c r="AG22" s="1"/>
      <c r="AI22" s="6"/>
      <c r="AJ22" s="1"/>
      <c r="AK22" s="1"/>
      <c r="AM22" s="6"/>
    </row>
    <row r="23" spans="1:39" x14ac:dyDescent="0.4">
      <c r="A23" s="1">
        <f>+[1]CER_implicito!$A440</f>
        <v>46006</v>
      </c>
      <c r="B23" s="1">
        <v>46037</v>
      </c>
      <c r="C23">
        <f>+VLOOKUP(B23,'Sheet1 (2)'!A:C,3)</f>
        <v>684.94018740033619</v>
      </c>
      <c r="H23" s="1">
        <v>46202</v>
      </c>
      <c r="I23" s="1">
        <f>+WORKDAY.INTL(H23,-10,1,Feriados!$A$2:$A$1048576)</f>
        <v>46184</v>
      </c>
      <c r="J23">
        <f>+VLOOKUP(A23,[1]CER_implicito!$A:$G,4)</f>
        <v>755.54177169983052</v>
      </c>
      <c r="K23" s="6">
        <f t="shared" si="0"/>
        <v>2.022290055197562E-2</v>
      </c>
      <c r="L23" s="1">
        <v>46324</v>
      </c>
      <c r="M23" s="1">
        <f>+WORKDAY.INTL(L23,-10,1,Feriados!$A$2:$A$1048576)</f>
        <v>46310</v>
      </c>
      <c r="N23">
        <f>+VLOOKUP(A23,[1]CER_implicito!$A:$G,6)</f>
        <v>791.5279437783297</v>
      </c>
      <c r="O23" s="6">
        <f t="shared" si="1"/>
        <v>1.602078795521078E-2</v>
      </c>
      <c r="P23" s="1">
        <v>46171</v>
      </c>
      <c r="Q23" s="1">
        <f>+WORKDAY.INTL(P23,-10,1,Feriados!$A$2:$A$1048576)</f>
        <v>46156</v>
      </c>
      <c r="R23">
        <f>+VLOOKUP(A23,[1]CER_implicito!$A:$G,7)</f>
        <v>738.52964817255986</v>
      </c>
      <c r="S23" s="6">
        <f t="shared" si="5"/>
        <v>1.9172158501711722E-2</v>
      </c>
      <c r="T23" s="1">
        <f t="shared" si="3"/>
        <v>46507</v>
      </c>
      <c r="U23" s="1">
        <f t="shared" si="4"/>
        <v>46493</v>
      </c>
      <c r="V23">
        <f>+VLOOKUP(A23,[1]CER_implicito!$A:$G,5)</f>
        <v>871.39921602655738</v>
      </c>
      <c r="W23" s="6">
        <f t="shared" si="2"/>
        <v>1.5966164424664697E-2</v>
      </c>
      <c r="X23" s="1"/>
      <c r="Y23" s="1"/>
      <c r="AA23" s="6"/>
      <c r="AB23" s="1"/>
      <c r="AC23" s="1"/>
      <c r="AE23" s="6"/>
      <c r="AF23" s="1"/>
      <c r="AG23" s="1"/>
      <c r="AI23" s="6"/>
      <c r="AJ23" s="1"/>
      <c r="AK23" s="1"/>
      <c r="AM23" s="6"/>
    </row>
    <row r="24" spans="1:39" x14ac:dyDescent="0.4">
      <c r="A24" s="1">
        <f>+[1]CER_implicito!$A441</f>
        <v>46007</v>
      </c>
      <c r="B24" s="1">
        <v>46037</v>
      </c>
      <c r="C24">
        <f>+VLOOKUP(B24,'Sheet1 (2)'!A:C,3)</f>
        <v>684.94018740033619</v>
      </c>
      <c r="H24" s="1">
        <v>46202</v>
      </c>
      <c r="I24" s="1">
        <f>+WORKDAY.INTL(H24,-10,1,Feriados!$A$2:$A$1048576)</f>
        <v>46184</v>
      </c>
      <c r="J24">
        <f>+VLOOKUP(A24,[1]CER_implicito!$A:$G,4)</f>
        <v>753.83228812940604</v>
      </c>
      <c r="K24" s="6">
        <f t="shared" si="0"/>
        <v>1.9751384111374337E-2</v>
      </c>
      <c r="L24" s="1">
        <v>46324</v>
      </c>
      <c r="M24" s="1">
        <f>+WORKDAY.INTL(L24,-10,1,Feriados!$A$2:$A$1048576)</f>
        <v>46310</v>
      </c>
      <c r="N24">
        <f>+VLOOKUP(A24,[1]CER_implicito!$A:$G,6)</f>
        <v>799.08226518298989</v>
      </c>
      <c r="O24" s="6">
        <f t="shared" si="1"/>
        <v>1.7081879457462756E-2</v>
      </c>
      <c r="P24" s="1">
        <v>46171</v>
      </c>
      <c r="Q24" s="1">
        <f>+WORKDAY.INTL(P24,-10,1,Feriados!$A$2:$A$1048576)</f>
        <v>46156</v>
      </c>
      <c r="R24">
        <f>+VLOOKUP(A24,[1]CER_implicito!$A:$G,7)</f>
        <v>741.32088497664245</v>
      </c>
      <c r="S24" s="6">
        <f t="shared" si="5"/>
        <v>2.0141859202997603E-2</v>
      </c>
      <c r="T24" s="1">
        <f t="shared" si="3"/>
        <v>46507</v>
      </c>
      <c r="U24" s="1">
        <f t="shared" si="4"/>
        <v>46493</v>
      </c>
      <c r="V24">
        <f>+VLOOKUP(A24,[1]CER_implicito!$A:$G,5)</f>
        <v>873.41106544590775</v>
      </c>
      <c r="W24" s="6">
        <f t="shared" si="2"/>
        <v>1.6120315319573919E-2</v>
      </c>
      <c r="X24" s="1"/>
      <c r="Y24" s="1"/>
      <c r="AA24" s="6"/>
      <c r="AB24" s="1"/>
      <c r="AC24" s="1"/>
      <c r="AE24" s="6"/>
      <c r="AF24" s="1"/>
      <c r="AG24" s="1"/>
      <c r="AI24" s="6"/>
      <c r="AJ24" s="1"/>
      <c r="AK24" s="1"/>
      <c r="AM24" s="6"/>
    </row>
    <row r="25" spans="1:39" x14ac:dyDescent="0.4">
      <c r="A25" s="1">
        <f>+[1]CER_implicito!$A442</f>
        <v>46008</v>
      </c>
      <c r="B25" s="1">
        <v>46037</v>
      </c>
      <c r="C25">
        <f>+VLOOKUP(B25,'Sheet1 (2)'!A:C,3)</f>
        <v>684.94018740033619</v>
      </c>
      <c r="H25" s="1">
        <v>46202</v>
      </c>
      <c r="I25" s="1">
        <f>+WORKDAY.INTL(H25,-10,1,Feriados!$A$2:$A$1048576)</f>
        <v>46184</v>
      </c>
      <c r="J25">
        <f>+VLOOKUP(A25,[1]CER_implicito!$A:$G,4)</f>
        <v>755.00393913734104</v>
      </c>
      <c r="K25" s="6">
        <f t="shared" si="0"/>
        <v>2.0074645102712951E-2</v>
      </c>
      <c r="L25" s="1">
        <v>46324</v>
      </c>
      <c r="M25" s="1">
        <f>+WORKDAY.INTL(L25,-10,1,Feriados!$A$2:$A$1048576)</f>
        <v>46310</v>
      </c>
      <c r="N25">
        <f>+VLOOKUP(A25,[1]CER_implicito!$A:$G,6)</f>
        <v>795.17525129159355</v>
      </c>
      <c r="O25" s="6">
        <f t="shared" si="1"/>
        <v>1.6534214543343806E-2</v>
      </c>
      <c r="P25" s="1">
        <v>46171</v>
      </c>
      <c r="Q25" s="1">
        <f>+WORKDAY.INTL(P25,-10,1,Feriados!$A$2:$A$1048576)</f>
        <v>46156</v>
      </c>
      <c r="R25">
        <f>+VLOOKUP(A25,[1]CER_implicito!$A:$G,7)</f>
        <v>743.01403275036296</v>
      </c>
      <c r="S25" s="6">
        <f t="shared" si="5"/>
        <v>2.0728744054497872E-2</v>
      </c>
      <c r="T25" s="1">
        <f t="shared" si="3"/>
        <v>46507</v>
      </c>
      <c r="U25" s="1">
        <f t="shared" si="4"/>
        <v>46493</v>
      </c>
      <c r="V25">
        <f>+VLOOKUP(A25,[1]CER_implicito!$A:$G,5)</f>
        <v>876.51994521607662</v>
      </c>
      <c r="W25" s="6">
        <f t="shared" si="2"/>
        <v>1.6357871185980644E-2</v>
      </c>
      <c r="X25" s="1"/>
      <c r="Y25" s="1"/>
      <c r="AA25" s="6"/>
      <c r="AB25" s="1"/>
      <c r="AC25" s="1"/>
      <c r="AE25" s="6"/>
      <c r="AF25" s="1"/>
      <c r="AG25" s="1"/>
      <c r="AI25" s="6"/>
      <c r="AJ25" s="1"/>
      <c r="AK25" s="1"/>
      <c r="AM25" s="6"/>
    </row>
    <row r="26" spans="1:39" x14ac:dyDescent="0.4">
      <c r="A26" s="1">
        <f>+[1]CER_implicito!$A443</f>
        <v>46009</v>
      </c>
      <c r="B26" s="1">
        <v>46037</v>
      </c>
      <c r="C26">
        <f>+VLOOKUP(B26,'Sheet1 (2)'!A:C,3)</f>
        <v>684.94018740033619</v>
      </c>
      <c r="H26" s="1">
        <v>46202</v>
      </c>
      <c r="I26" s="1">
        <f>+WORKDAY.INTL(H26,-10,1,Feriados!$A$2:$A$1048576)</f>
        <v>46184</v>
      </c>
      <c r="J26">
        <f>+VLOOKUP(A26,[1]CER_implicito!$A:$G,4)</f>
        <v>758.01196511570572</v>
      </c>
      <c r="K26" s="6">
        <f t="shared" si="0"/>
        <v>2.0902741224333443E-2</v>
      </c>
      <c r="L26" s="1">
        <v>46324</v>
      </c>
      <c r="M26" s="1">
        <f>+WORKDAY.INTL(L26,-10,1,Feriados!$A$2:$A$1048576)</f>
        <v>46310</v>
      </c>
      <c r="N26">
        <f>+VLOOKUP(A26,[1]CER_implicito!$A:$G,6)</f>
        <v>798.2851710334935</v>
      </c>
      <c r="O26" s="6">
        <f t="shared" si="1"/>
        <v>1.6970340768234893E-2</v>
      </c>
      <c r="P26" s="1">
        <v>46171</v>
      </c>
      <c r="Q26" s="1">
        <f>+WORKDAY.INTL(P26,-10,1,Feriados!$A$2:$A$1048576)</f>
        <v>46156</v>
      </c>
      <c r="R26">
        <f>+VLOOKUP(A26,[1]CER_implicito!$A:$G,7)</f>
        <v>743.3927004556474</v>
      </c>
      <c r="S26" s="6">
        <f t="shared" si="5"/>
        <v>2.0859862303045373E-2</v>
      </c>
      <c r="T26" s="1">
        <f t="shared" si="3"/>
        <v>46507</v>
      </c>
      <c r="U26" s="1">
        <f t="shared" si="4"/>
        <v>46493</v>
      </c>
      <c r="V26">
        <f>+VLOOKUP(A26,[1]CER_implicito!$A:$G,5)</f>
        <v>877.13485424463363</v>
      </c>
      <c r="W26" s="6">
        <f t="shared" si="2"/>
        <v>1.6404764384962078E-2</v>
      </c>
      <c r="X26" s="1"/>
      <c r="Y26" s="1"/>
      <c r="AA26" s="6"/>
      <c r="AB26" s="1"/>
      <c r="AC26" s="1"/>
      <c r="AE26" s="6"/>
      <c r="AF26" s="1"/>
      <c r="AG26" s="1"/>
      <c r="AI26" s="6"/>
      <c r="AJ26" s="1"/>
      <c r="AK26" s="1"/>
      <c r="AM26" s="6"/>
    </row>
    <row r="27" spans="1:39" x14ac:dyDescent="0.4">
      <c r="A27" s="1">
        <f>+[1]CER_implicito!$A444</f>
        <v>46010</v>
      </c>
      <c r="B27" s="1">
        <v>46037</v>
      </c>
      <c r="C27">
        <f>+VLOOKUP(B27,'Sheet1 (2)'!A:C,3)</f>
        <v>684.94018740033619</v>
      </c>
      <c r="H27" s="1">
        <v>46202</v>
      </c>
      <c r="I27" s="1">
        <f>+WORKDAY.INTL(H27,-10,1,Feriados!$A$2:$A$1048576)</f>
        <v>46184</v>
      </c>
      <c r="J27">
        <f>+VLOOKUP(A27,[1]CER_implicito!$A:$G,4)</f>
        <v>758.78055502109362</v>
      </c>
      <c r="K27" s="6">
        <f t="shared" si="0"/>
        <v>2.1113910987464068E-2</v>
      </c>
      <c r="L27" s="1">
        <v>46324</v>
      </c>
      <c r="M27" s="1">
        <f>+WORKDAY.INTL(L27,-10,1,Feriados!$A$2:$A$1048576)</f>
        <v>46310</v>
      </c>
      <c r="N27">
        <f>+VLOOKUP(A27,[1]CER_implicito!$A:$G,6)</f>
        <v>800.89857828237291</v>
      </c>
      <c r="O27" s="6">
        <f t="shared" si="1"/>
        <v>1.73356696397442E-2</v>
      </c>
      <c r="P27" s="1">
        <v>46171</v>
      </c>
      <c r="Q27" s="1">
        <f>+WORKDAY.INTL(P27,-10,1,Feriados!$A$2:$A$1048576)</f>
        <v>46156</v>
      </c>
      <c r="R27">
        <f>+VLOOKUP(A27,[1]CER_implicito!$A:$G,7)</f>
        <v>743.34709488800934</v>
      </c>
      <c r="S27" s="6">
        <f t="shared" si="5"/>
        <v>2.0844073472678248E-2</v>
      </c>
      <c r="T27" s="1">
        <f t="shared" si="3"/>
        <v>46507</v>
      </c>
      <c r="U27" s="1">
        <f t="shared" si="4"/>
        <v>46493</v>
      </c>
      <c r="V27">
        <f>+VLOOKUP(A27,[1]CER_implicito!$A:$G,5)</f>
        <v>879.13464539946688</v>
      </c>
      <c r="W27" s="6">
        <f t="shared" si="2"/>
        <v>1.6557057161868505E-2</v>
      </c>
      <c r="X27" s="1"/>
      <c r="Y27" s="1"/>
      <c r="AA27" s="6"/>
      <c r="AB27" s="1"/>
      <c r="AC27" s="1"/>
      <c r="AE27" s="6"/>
      <c r="AF27" s="1"/>
      <c r="AG27" s="1"/>
      <c r="AI27" s="6"/>
      <c r="AJ27" s="1"/>
      <c r="AK27" s="1"/>
      <c r="AM27" s="6"/>
    </row>
    <row r="28" spans="1:39" x14ac:dyDescent="0.4">
      <c r="A28" s="1">
        <f>+[1]CER_implicito!$A445</f>
        <v>46013</v>
      </c>
      <c r="B28" s="1">
        <v>46037</v>
      </c>
      <c r="C28">
        <f>+VLOOKUP(B28,'Sheet1 (2)'!A:C,3)</f>
        <v>684.94018740033619</v>
      </c>
      <c r="H28" s="1">
        <v>46202</v>
      </c>
      <c r="I28" s="1">
        <f>+WORKDAY.INTL(H28,-10,1,Feriados!$A$2:$A$1048576)</f>
        <v>46184</v>
      </c>
      <c r="J28">
        <f>+VLOOKUP(A28,[1]CER_implicito!$A:$G,4)</f>
        <v>758.7567429840002</v>
      </c>
      <c r="K28" s="6">
        <f t="shared" si="0"/>
        <v>2.1107371196089408E-2</v>
      </c>
      <c r="L28" s="1">
        <v>46324</v>
      </c>
      <c r="M28" s="1">
        <f>+WORKDAY.INTL(L28,-10,1,Feriados!$A$2:$A$1048576)</f>
        <v>46310</v>
      </c>
      <c r="N28">
        <f>+VLOOKUP(A28,[1]CER_implicito!$A:$G,6)</f>
        <v>800.20917722585978</v>
      </c>
      <c r="O28" s="6">
        <f t="shared" si="1"/>
        <v>1.7239401243572816E-2</v>
      </c>
      <c r="P28" s="1">
        <v>46171</v>
      </c>
      <c r="Q28" s="1">
        <f>+WORKDAY.INTL(P28,-10,1,Feriados!$A$2:$A$1048576)</f>
        <v>46156</v>
      </c>
      <c r="R28">
        <f>+VLOOKUP(A28,[1]CER_implicito!$A:$G,7)</f>
        <v>742.52285941683397</v>
      </c>
      <c r="S28" s="6">
        <f t="shared" si="5"/>
        <v>2.0558594902600813E-2</v>
      </c>
      <c r="T28" s="1">
        <f t="shared" si="3"/>
        <v>46507</v>
      </c>
      <c r="U28" s="1">
        <f t="shared" si="4"/>
        <v>46493</v>
      </c>
      <c r="V28">
        <f>+VLOOKUP(A28,[1]CER_implicito!$A:$G,5)</f>
        <v>874.51665350373707</v>
      </c>
      <c r="W28" s="6">
        <f t="shared" si="2"/>
        <v>1.6204885944870018E-2</v>
      </c>
      <c r="X28" s="1"/>
      <c r="Y28" s="1"/>
      <c r="AA28" s="6"/>
      <c r="AB28" s="1"/>
      <c r="AC28" s="1"/>
      <c r="AE28" s="6"/>
      <c r="AF28" s="1"/>
      <c r="AG28" s="1"/>
      <c r="AI28" s="6"/>
      <c r="AJ28" s="1"/>
      <c r="AK28" s="1"/>
      <c r="AM28" s="6"/>
    </row>
    <row r="29" spans="1:39" x14ac:dyDescent="0.4">
      <c r="A29" s="1">
        <f>+[1]CER_implicito!$A446</f>
        <v>46014</v>
      </c>
      <c r="B29" s="1">
        <v>46037</v>
      </c>
      <c r="C29">
        <f>+VLOOKUP(B29,'Sheet1 (2)'!A:C,3)</f>
        <v>684.94018740033619</v>
      </c>
      <c r="H29" s="1">
        <v>46202</v>
      </c>
      <c r="I29" s="1">
        <f>+WORKDAY.INTL(H29,-10,1,Feriados!$A$2:$A$1048576)</f>
        <v>46184</v>
      </c>
      <c r="J29">
        <f>+VLOOKUP(A29,[1]CER_implicito!$A:$G,4)</f>
        <v>758.44980565471167</v>
      </c>
      <c r="K29" s="6">
        <f t="shared" si="0"/>
        <v>2.1023058611289169E-2</v>
      </c>
      <c r="L29" s="1">
        <v>46324</v>
      </c>
      <c r="M29" s="1">
        <f>+WORKDAY.INTL(L29,-10,1,Feriados!$A$2:$A$1048576)</f>
        <v>46310</v>
      </c>
      <c r="N29">
        <f>+VLOOKUP(A29,[1]CER_implicito!$A:$G,6)</f>
        <v>801.303111778313</v>
      </c>
      <c r="O29" s="6">
        <f t="shared" si="1"/>
        <v>1.7392124616961269E-2</v>
      </c>
      <c r="P29" s="1">
        <v>46171</v>
      </c>
      <c r="Q29" s="1">
        <f>+WORKDAY.INTL(P29,-10,1,Feriados!$A$2:$A$1048576)</f>
        <v>46156</v>
      </c>
      <c r="R29">
        <f>+VLOOKUP(A29,[1]CER_implicito!$A:$G,7)</f>
        <v>744.63793946195483</v>
      </c>
      <c r="S29" s="6">
        <f t="shared" si="5"/>
        <v>2.1290689376368022E-2</v>
      </c>
      <c r="T29" s="1">
        <f t="shared" si="3"/>
        <v>46507</v>
      </c>
      <c r="U29" s="1">
        <f t="shared" si="4"/>
        <v>46493</v>
      </c>
      <c r="V29">
        <f>+VLOOKUP(A29,[1]CER_implicito!$A:$G,5)</f>
        <v>876.94278050019898</v>
      </c>
      <c r="W29" s="6">
        <f t="shared" si="2"/>
        <v>1.6390120066499092E-2</v>
      </c>
      <c r="X29" s="1"/>
      <c r="Y29" s="1"/>
      <c r="AA29" s="6"/>
      <c r="AB29" s="1"/>
      <c r="AC29" s="1"/>
      <c r="AE29" s="6"/>
      <c r="AF29" s="1"/>
      <c r="AG29" s="1"/>
      <c r="AI29" s="6"/>
      <c r="AJ29" s="1"/>
      <c r="AK29" s="1"/>
      <c r="AM29" s="6"/>
    </row>
    <row r="30" spans="1:39" x14ac:dyDescent="0.4">
      <c r="A30" s="1">
        <f>+[1]CER_implicito!$A447</f>
        <v>46015</v>
      </c>
      <c r="B30" s="1">
        <v>46037</v>
      </c>
      <c r="C30">
        <f>+VLOOKUP(B30,'Sheet1 (2)'!A:C,3)</f>
        <v>684.94018740033619</v>
      </c>
      <c r="H30" s="1">
        <v>46202</v>
      </c>
      <c r="I30" s="1">
        <f>+WORKDAY.INTL(H30,-10,1,Feriados!$A$2:$A$1048576)</f>
        <v>46184</v>
      </c>
      <c r="J30">
        <f>+VLOOKUP(A30,[1]CER_implicito!$A:$G,4)</f>
        <v>760.05033307553958</v>
      </c>
      <c r="K30" s="6">
        <f t="shared" si="0"/>
        <v>2.1462409321183928E-2</v>
      </c>
      <c r="L30" s="1">
        <v>46324</v>
      </c>
      <c r="M30" s="1">
        <f>+WORKDAY.INTL(L30,-10,1,Feriados!$A$2:$A$1048576)</f>
        <v>46310</v>
      </c>
      <c r="N30">
        <f>+VLOOKUP(A30,[1]CER_implicito!$A:$G,6)</f>
        <v>797.53076701608074</v>
      </c>
      <c r="O30" s="6">
        <f t="shared" si="1"/>
        <v>1.686468442977751E-2</v>
      </c>
      <c r="P30" s="1">
        <v>46171</v>
      </c>
      <c r="Q30" s="1">
        <f>+WORKDAY.INTL(P30,-10,1,Feriados!$A$2:$A$1048576)</f>
        <v>46156</v>
      </c>
      <c r="R30">
        <f>+VLOOKUP(A30,[1]CER_implicito!$A:$G,7)</f>
        <v>748.7193880403737</v>
      </c>
      <c r="S30" s="6">
        <f t="shared" si="5"/>
        <v>2.2699019934985909E-2</v>
      </c>
      <c r="T30" s="1">
        <f t="shared" si="3"/>
        <v>46507</v>
      </c>
      <c r="U30" s="1">
        <f t="shared" si="4"/>
        <v>46493</v>
      </c>
      <c r="V30">
        <f>+VLOOKUP(A30,[1]CER_implicito!$A:$G,5)</f>
        <v>883.29141463655935</v>
      </c>
      <c r="W30" s="6">
        <f t="shared" si="2"/>
        <v>1.6872580416111838E-2</v>
      </c>
      <c r="X30" s="1"/>
      <c r="Y30" s="1"/>
      <c r="AA30" s="6"/>
      <c r="AB30" s="1"/>
      <c r="AC30" s="1"/>
      <c r="AE30" s="6"/>
      <c r="AF30" s="1"/>
      <c r="AG30" s="1"/>
      <c r="AI30" s="6"/>
      <c r="AJ30" s="1"/>
      <c r="AK30" s="1"/>
      <c r="AM30" s="6"/>
    </row>
    <row r="31" spans="1:39" x14ac:dyDescent="0.4">
      <c r="A31" s="1">
        <f>+[1]CER_implicito!$A448</f>
        <v>46017</v>
      </c>
      <c r="B31" s="1">
        <v>46037</v>
      </c>
      <c r="C31">
        <f>+VLOOKUP(B31,'Sheet1 (2)'!A:C,3)</f>
        <v>684.94018740033619</v>
      </c>
      <c r="D31" s="1">
        <v>46112</v>
      </c>
      <c r="E31" s="1">
        <f>+WORKDAY.INTL(D31,-10,1,Feriados!$A$2:$A$1048576)</f>
        <v>46094</v>
      </c>
      <c r="F31">
        <f>+VLOOKUP(A31,[1]CER_implicito!$A:$G,3)</f>
        <v>716.64554905567684</v>
      </c>
      <c r="G31" s="25">
        <f t="shared" ref="G31:G79" si="6">+(F31/C31)^(30/(E31-B31))-1</f>
        <v>2.4101568712653787E-2</v>
      </c>
      <c r="H31" s="1">
        <v>46202</v>
      </c>
      <c r="I31" s="1">
        <f>+WORKDAY.INTL(H31,-10,1,Feriados!$A$2:$A$1048576)</f>
        <v>46184</v>
      </c>
      <c r="J31">
        <f>+VLOOKUP(A31,[1]CER_implicito!$A:$G,4)</f>
        <v>758.91596827996386</v>
      </c>
      <c r="K31" s="6">
        <f t="shared" si="0"/>
        <v>2.1151098083751263E-2</v>
      </c>
      <c r="L31" s="1">
        <v>46324</v>
      </c>
      <c r="M31" s="1">
        <f>+WORKDAY.INTL(L31,-10,1,Feriados!$A$2:$A$1048576)</f>
        <v>46310</v>
      </c>
      <c r="N31">
        <f>+VLOOKUP(A31,[1]CER_implicito!$A:$G,6)</f>
        <v>801.78194543849395</v>
      </c>
      <c r="O31" s="6">
        <f t="shared" si="1"/>
        <v>1.7458915832776922E-2</v>
      </c>
      <c r="P31" s="1">
        <v>46171</v>
      </c>
      <c r="Q31" s="1">
        <f>+WORKDAY.INTL(P31,-10,1,Feriados!$A$2:$A$1048576)</f>
        <v>46156</v>
      </c>
      <c r="R31">
        <f>+VLOOKUP(A31,[1]CER_implicito!$A:$G,7)</f>
        <v>746.32848192839117</v>
      </c>
      <c r="S31" s="6">
        <f t="shared" si="5"/>
        <v>2.187472080327546E-2</v>
      </c>
      <c r="T31" s="1">
        <f t="shared" si="3"/>
        <v>46507</v>
      </c>
      <c r="U31" s="1">
        <f t="shared" si="4"/>
        <v>46493</v>
      </c>
      <c r="V31">
        <f>+VLOOKUP(A31,[1]CER_implicito!$A:$G,5)</f>
        <v>875.72230875190564</v>
      </c>
      <c r="W31" s="6">
        <f t="shared" si="2"/>
        <v>1.6296997312503558E-2</v>
      </c>
      <c r="X31" s="1"/>
      <c r="Y31" s="1"/>
      <c r="AA31" s="6"/>
      <c r="AB31" s="1"/>
      <c r="AC31" s="1"/>
      <c r="AE31" s="6"/>
      <c r="AF31" s="1"/>
      <c r="AG31" s="1"/>
      <c r="AI31" s="6"/>
      <c r="AJ31" s="1"/>
      <c r="AK31" s="1"/>
      <c r="AM31" s="6"/>
    </row>
    <row r="32" spans="1:39" x14ac:dyDescent="0.4">
      <c r="A32" s="1">
        <f>+[1]CER_implicito!$A449</f>
        <v>46020</v>
      </c>
      <c r="B32" s="1">
        <v>46037</v>
      </c>
      <c r="C32">
        <f>+VLOOKUP(B32,'Sheet1 (2)'!A:C,3)</f>
        <v>684.94018740033619</v>
      </c>
      <c r="D32" s="1">
        <f>+D31</f>
        <v>46112</v>
      </c>
      <c r="E32" s="1">
        <f>+E31</f>
        <v>46094</v>
      </c>
      <c r="F32">
        <f>+VLOOKUP(A32,[1]CER_implicito!$A:$G,3)</f>
        <v>713.85084860620191</v>
      </c>
      <c r="G32" s="25">
        <f t="shared" si="6"/>
        <v>2.1997683740431428E-2</v>
      </c>
      <c r="H32" s="1">
        <v>46202</v>
      </c>
      <c r="I32" s="1">
        <f>+WORKDAY.INTL(H32,-10,1,Feriados!$A$2:$A$1048576)</f>
        <v>46184</v>
      </c>
      <c r="J32">
        <f>+VLOOKUP(A32,[1]CER_implicito!$A:$G,4)</f>
        <v>755.20179761688735</v>
      </c>
      <c r="K32" s="6">
        <f t="shared" si="0"/>
        <v>2.0129195263473232E-2</v>
      </c>
      <c r="L32" s="1">
        <v>46324</v>
      </c>
      <c r="M32" s="1">
        <f>+WORKDAY.INTL(L32,-10,1,Feriados!$A$2:$A$1048576)</f>
        <v>46310</v>
      </c>
      <c r="N32">
        <f>+VLOOKUP(A32,[1]CER_implicito!$A:$G,6)</f>
        <v>799.63678252790385</v>
      </c>
      <c r="O32" s="6">
        <f t="shared" si="1"/>
        <v>1.7159415579660164E-2</v>
      </c>
      <c r="P32" s="1">
        <v>46171</v>
      </c>
      <c r="Q32" s="1">
        <f>+WORKDAY.INTL(P32,-10,1,Feriados!$A$2:$A$1048576)</f>
        <v>46156</v>
      </c>
      <c r="R32">
        <f>+VLOOKUP(A32,[1]CER_implicito!$A:$G,7)</f>
        <v>743.68980577763659</v>
      </c>
      <c r="S32" s="6">
        <f t="shared" si="5"/>
        <v>2.0962703628327528E-2</v>
      </c>
      <c r="T32" s="1">
        <f t="shared" si="3"/>
        <v>46507</v>
      </c>
      <c r="U32" s="1">
        <f t="shared" si="4"/>
        <v>46493</v>
      </c>
      <c r="V32">
        <f>+VLOOKUP(A32,[1]CER_implicito!$A:$G,5)</f>
        <v>881.02389729934339</v>
      </c>
      <c r="W32" s="6">
        <f t="shared" si="2"/>
        <v>1.6700634891599675E-2</v>
      </c>
      <c r="X32" s="1"/>
      <c r="Y32" s="1"/>
      <c r="AA32" s="6"/>
      <c r="AB32" s="1"/>
      <c r="AC32" s="1"/>
      <c r="AE32" s="6"/>
      <c r="AF32" s="1"/>
      <c r="AG32" s="1"/>
      <c r="AI32" s="6"/>
      <c r="AJ32" s="1"/>
      <c r="AK32" s="1"/>
      <c r="AM32" s="6"/>
    </row>
    <row r="33" spans="1:39" x14ac:dyDescent="0.4">
      <c r="A33" s="1">
        <f>+[1]CER_implicito!$A450</f>
        <v>46021</v>
      </c>
      <c r="B33" s="1">
        <v>46037</v>
      </c>
      <c r="C33">
        <f>+VLOOKUP(B33,'Sheet1 (2)'!A:C,3)</f>
        <v>684.94018740033619</v>
      </c>
      <c r="D33" s="1">
        <v>46112</v>
      </c>
      <c r="E33" s="1">
        <f>+WORKDAY.INTL(D33,-10,1,Feriados!$A$2:$A$1048576)</f>
        <v>46094</v>
      </c>
      <c r="F33">
        <f>+VLOOKUP(A33,[1]CER_implicito!$A:$G,3)</f>
        <v>716.7392628437741</v>
      </c>
      <c r="G33" s="25">
        <f t="shared" si="6"/>
        <v>2.4172050200907069E-2</v>
      </c>
      <c r="H33" s="1">
        <v>46202</v>
      </c>
      <c r="I33" s="1">
        <f>+WORKDAY.INTL(H33,-10,1,Feriados!$A$2:$A$1048576)</f>
        <v>46184</v>
      </c>
      <c r="J33">
        <f>+VLOOKUP(A33,[1]CER_implicito!$A:$G,4)</f>
        <v>757.52009460935619</v>
      </c>
      <c r="K33" s="6">
        <f t="shared" si="0"/>
        <v>2.0767510557470503E-2</v>
      </c>
      <c r="L33" s="1">
        <v>46324</v>
      </c>
      <c r="M33" s="1">
        <f>+WORKDAY.INTL(L33,-10,1,Feriados!$A$2:$A$1048576)</f>
        <v>46310</v>
      </c>
      <c r="N33">
        <f>+VLOOKUP(A33,[1]CER_implicito!$A:$G,6)</f>
        <v>795.62831372987159</v>
      </c>
      <c r="O33" s="6">
        <f t="shared" si="1"/>
        <v>1.6597845098196506E-2</v>
      </c>
      <c r="P33" s="1">
        <v>46171</v>
      </c>
      <c r="Q33" s="1">
        <f>+WORKDAY.INTL(P33,-10,1,Feriados!$A$2:$A$1048576)</f>
        <v>46156</v>
      </c>
      <c r="R33">
        <f>+VLOOKUP(A33,[1]CER_implicito!$A:$G,7)</f>
        <v>746.42978250536748</v>
      </c>
      <c r="S33" s="6">
        <f t="shared" si="5"/>
        <v>2.1909685664585954E-2</v>
      </c>
      <c r="T33" s="1">
        <f t="shared" si="3"/>
        <v>46507</v>
      </c>
      <c r="U33" s="1">
        <f t="shared" si="4"/>
        <v>46493</v>
      </c>
      <c r="V33">
        <f>+VLOOKUP(A33,[1]CER_implicito!$A:$G,5)</f>
        <v>875.19452276399829</v>
      </c>
      <c r="W33" s="6">
        <f t="shared" si="2"/>
        <v>1.6256689355261367E-2</v>
      </c>
      <c r="X33" s="1"/>
      <c r="Y33" s="1"/>
      <c r="AA33" s="6"/>
      <c r="AB33" s="1"/>
      <c r="AC33" s="1"/>
      <c r="AE33" s="6"/>
      <c r="AF33" s="1"/>
      <c r="AG33" s="1"/>
      <c r="AI33" s="6"/>
      <c r="AJ33" s="1"/>
      <c r="AK33" s="1"/>
      <c r="AM33" s="6"/>
    </row>
    <row r="34" spans="1:39" x14ac:dyDescent="0.4">
      <c r="A34" s="1">
        <f>+[1]CER_implicito!$A451</f>
        <v>46024</v>
      </c>
      <c r="B34" s="1">
        <v>46037</v>
      </c>
      <c r="C34">
        <f>+VLOOKUP(B34,'Sheet1 (2)'!A:C,3)</f>
        <v>684.94018740033619</v>
      </c>
      <c r="D34" s="1">
        <v>46112</v>
      </c>
      <c r="E34" s="1">
        <f t="shared" ref="E34" si="7">+E33</f>
        <v>46094</v>
      </c>
      <c r="F34">
        <f>+VLOOKUP(A34,[1]CER_implicito!$A:$G,3)</f>
        <v>715.20295324840947</v>
      </c>
      <c r="G34" s="25">
        <f t="shared" si="6"/>
        <v>2.3016051041682584E-2</v>
      </c>
      <c r="H34" s="1">
        <v>46202</v>
      </c>
      <c r="I34" s="1">
        <f>+WORKDAY.INTL(H34,-10,1,Feriados!$A$2:$A$1048576)</f>
        <v>46184</v>
      </c>
      <c r="J34">
        <f>+VLOOKUP(A34,[1]CER_implicito!$A:$G,4)</f>
        <v>756.45808739431004</v>
      </c>
      <c r="K34" s="6">
        <f t="shared" si="0"/>
        <v>2.0475292865977268E-2</v>
      </c>
      <c r="L34" s="1">
        <v>46324</v>
      </c>
      <c r="M34" s="1">
        <f>+WORKDAY.INTL(L34,-10,1,Feriados!$A$2:$A$1048576)</f>
        <v>46310</v>
      </c>
      <c r="N34">
        <f>+VLOOKUP(A34,[1]CER_implicito!$A:$G,6)</f>
        <v>802.34405277706503</v>
      </c>
      <c r="O34" s="6">
        <f t="shared" si="1"/>
        <v>1.7537277380305527E-2</v>
      </c>
      <c r="P34" s="1">
        <v>46171</v>
      </c>
      <c r="Q34" s="1">
        <f>+WORKDAY.INTL(P34,-10,1,Feriados!$A$2:$A$1048576)</f>
        <v>46156</v>
      </c>
      <c r="R34">
        <f>+VLOOKUP(A34,[1]CER_implicito!$A:$G,7)</f>
        <v>745.65465887264872</v>
      </c>
      <c r="S34" s="6">
        <f t="shared" si="5"/>
        <v>2.1642053969822772E-2</v>
      </c>
      <c r="T34" s="1">
        <f t="shared" si="3"/>
        <v>46507</v>
      </c>
      <c r="U34" s="1">
        <f t="shared" si="4"/>
        <v>46493</v>
      </c>
      <c r="V34">
        <f>+VLOOKUP(A34,[1]CER_implicito!$A:$G,5)</f>
        <v>885.22705245271823</v>
      </c>
      <c r="W34" s="6">
        <f t="shared" si="2"/>
        <v>1.7019033624225521E-2</v>
      </c>
      <c r="X34" s="1"/>
      <c r="Y34" s="1"/>
      <c r="AA34" s="6"/>
      <c r="AB34" s="1"/>
      <c r="AC34" s="1"/>
      <c r="AE34" s="6"/>
      <c r="AF34" s="1"/>
      <c r="AG34" s="1"/>
      <c r="AI34" s="6"/>
      <c r="AJ34" s="1"/>
      <c r="AK34" s="1"/>
      <c r="AM34" s="6"/>
    </row>
    <row r="35" spans="1:39" x14ac:dyDescent="0.4">
      <c r="A35" s="1">
        <f>+[1]CER_implicito!$A452</f>
        <v>46027</v>
      </c>
      <c r="B35" s="1">
        <v>46037</v>
      </c>
      <c r="C35">
        <f>+VLOOKUP(B35,'Sheet1 (2)'!A:C,3)</f>
        <v>684.94018740033619</v>
      </c>
      <c r="D35" s="1">
        <v>46112</v>
      </c>
      <c r="E35" s="1">
        <f>+WORKDAY.INTL(D35,-10,1,Feriados!$A$2:$A$1048576)</f>
        <v>46094</v>
      </c>
      <c r="F35">
        <f>+VLOOKUP(A35,[1]CER_implicito!$A:$G,3)</f>
        <v>716.14336283631712</v>
      </c>
      <c r="G35" s="25">
        <f t="shared" si="6"/>
        <v>2.3723803545230071E-2</v>
      </c>
      <c r="H35" s="1">
        <v>46202</v>
      </c>
      <c r="I35" s="1">
        <f>+WORKDAY.INTL(H35,-10,1,Feriados!$A$2:$A$1048576)</f>
        <v>46184</v>
      </c>
      <c r="J35">
        <f>+VLOOKUP(A35,[1]CER_implicito!$A:$G,4)</f>
        <v>756.12385738296757</v>
      </c>
      <c r="K35" s="6">
        <f t="shared" si="0"/>
        <v>2.0383259911489704E-2</v>
      </c>
      <c r="L35" s="1">
        <v>46324</v>
      </c>
      <c r="M35" s="1">
        <f>+WORKDAY.INTL(L35,-10,1,Feriados!$A$2:$A$1048576)</f>
        <v>46310</v>
      </c>
      <c r="N35">
        <f>+VLOOKUP(A35,[1]CER_implicito!$A:$G,6)</f>
        <v>807.6708181479728</v>
      </c>
      <c r="O35" s="6">
        <f t="shared" si="1"/>
        <v>1.8277448447805877E-2</v>
      </c>
      <c r="P35" s="1">
        <v>46171</v>
      </c>
      <c r="Q35" s="1">
        <f>+WORKDAY.INTL(P35,-10,1,Feriados!$A$2:$A$1048576)</f>
        <v>46156</v>
      </c>
      <c r="R35">
        <f>+VLOOKUP(A35,[1]CER_implicito!$A:$G,7)</f>
        <v>743.60122103509855</v>
      </c>
      <c r="S35" s="6">
        <f t="shared" si="5"/>
        <v>2.0932043736710204E-2</v>
      </c>
      <c r="T35" s="1">
        <f t="shared" si="3"/>
        <v>46507</v>
      </c>
      <c r="U35" s="1">
        <f t="shared" si="4"/>
        <v>46493</v>
      </c>
      <c r="V35">
        <f>+VLOOKUP(A35,[1]CER_implicito!$A:$G,5)</f>
        <v>885.01973403108946</v>
      </c>
      <c r="W35" s="6">
        <f t="shared" si="2"/>
        <v>1.7003361920109539E-2</v>
      </c>
      <c r="X35" s="1"/>
      <c r="Y35" s="1"/>
      <c r="AA35" s="6"/>
      <c r="AB35" s="1"/>
      <c r="AC35" s="1"/>
      <c r="AE35" s="6"/>
      <c r="AF35" s="1"/>
      <c r="AG35" s="1"/>
      <c r="AI35" s="6"/>
      <c r="AJ35" s="1"/>
      <c r="AK35" s="1"/>
      <c r="AM35" s="6"/>
    </row>
    <row r="36" spans="1:39" x14ac:dyDescent="0.4">
      <c r="A36" s="1">
        <f>+[1]CER_implicito!$A453</f>
        <v>46028</v>
      </c>
      <c r="B36" s="1">
        <v>46037</v>
      </c>
      <c r="C36">
        <f>+VLOOKUP(B36,'Sheet1 (2)'!A:C,3)</f>
        <v>684.94018740033619</v>
      </c>
      <c r="D36" s="1">
        <v>46112</v>
      </c>
      <c r="E36" s="1">
        <f t="shared" ref="E36" si="8">+E35</f>
        <v>46094</v>
      </c>
      <c r="F36">
        <f>+VLOOKUP(A36,[1]CER_implicito!$A:$G,3)</f>
        <v>716.27877249109849</v>
      </c>
      <c r="G36" s="25">
        <f t="shared" si="6"/>
        <v>2.3825676619630753E-2</v>
      </c>
      <c r="H36" s="1">
        <v>46202</v>
      </c>
      <c r="I36" s="1">
        <f>+WORKDAY.INTL(H36,-10,1,Feriados!$A$2:$A$1048576)</f>
        <v>46184</v>
      </c>
      <c r="J36">
        <f>+VLOOKUP(A36,[1]CER_implicito!$A:$G,4)</f>
        <v>756.58119857677559</v>
      </c>
      <c r="K36" s="6">
        <f t="shared" si="0"/>
        <v>2.0509184376122036E-2</v>
      </c>
      <c r="L36" s="1">
        <v>46324</v>
      </c>
      <c r="M36" s="1">
        <f>+WORKDAY.INTL(L36,-10,1,Feriados!$A$2:$A$1048576)</f>
        <v>46310</v>
      </c>
      <c r="N36">
        <f>+VLOOKUP(A36,[1]CER_implicito!$A:$G,6)</f>
        <v>811.69920986909574</v>
      </c>
      <c r="O36" s="6">
        <f t="shared" si="1"/>
        <v>1.8834326304981497E-2</v>
      </c>
      <c r="P36" s="1">
        <v>46171</v>
      </c>
      <c r="Q36" s="1">
        <f>+WORKDAY.INTL(P36,-10,1,Feriados!$A$2:$A$1048576)</f>
        <v>46156</v>
      </c>
      <c r="R36">
        <f>+VLOOKUP(A36,[1]CER_implicito!$A:$G,7)</f>
        <v>742.97856491045411</v>
      </c>
      <c r="S36" s="6">
        <f t="shared" si="5"/>
        <v>2.0716460328678243E-2</v>
      </c>
      <c r="T36" s="1">
        <f t="shared" si="3"/>
        <v>46507</v>
      </c>
      <c r="U36" s="1">
        <f t="shared" si="4"/>
        <v>46493</v>
      </c>
      <c r="V36">
        <f>+VLOOKUP(A36,[1]CER_implicito!$A:$G,5)</f>
        <v>884.98646370885433</v>
      </c>
      <c r="W36" s="6">
        <f t="shared" si="2"/>
        <v>1.7000846616121557E-2</v>
      </c>
      <c r="X36" s="1"/>
      <c r="Y36" s="1"/>
      <c r="AA36" s="6"/>
      <c r="AB36" s="1"/>
      <c r="AC36" s="1"/>
      <c r="AE36" s="6"/>
      <c r="AF36" s="1"/>
      <c r="AG36" s="1"/>
      <c r="AI36" s="6"/>
      <c r="AJ36" s="1"/>
      <c r="AK36" s="1"/>
      <c r="AM36" s="6"/>
    </row>
    <row r="37" spans="1:39" x14ac:dyDescent="0.4">
      <c r="A37" s="1">
        <f>+[1]CER_implicito!$A454</f>
        <v>46029</v>
      </c>
      <c r="B37" s="1">
        <v>46037</v>
      </c>
      <c r="C37">
        <f>+VLOOKUP(B37,'Sheet1 (2)'!A:C,3)</f>
        <v>684.94018740033619</v>
      </c>
      <c r="D37" s="1">
        <v>46112</v>
      </c>
      <c r="E37" s="1">
        <f>+WORKDAY.INTL(D37,-10,1,Feriados!$A$2:$A$1048576)</f>
        <v>46094</v>
      </c>
      <c r="F37">
        <f>+VLOOKUP(A37,[1]CER_implicito!$A:$G,3)</f>
        <v>716.20246242991891</v>
      </c>
      <c r="G37" s="25">
        <f t="shared" si="6"/>
        <v>2.3768267208007066E-2</v>
      </c>
      <c r="H37" s="1">
        <v>46202</v>
      </c>
      <c r="I37" s="1">
        <f>+WORKDAY.INTL(H37,-10,1,Feriados!$A$2:$A$1048576)</f>
        <v>46184</v>
      </c>
      <c r="J37">
        <f>+VLOOKUP(A37,[1]CER_implicito!$A:$G,4)</f>
        <v>758.42492936808458</v>
      </c>
      <c r="K37" s="6">
        <f t="shared" si="0"/>
        <v>2.1016224156944041E-2</v>
      </c>
      <c r="L37" s="1">
        <v>46324</v>
      </c>
      <c r="M37" s="1">
        <f>+WORKDAY.INTL(L37,-10,1,Feriados!$A$2:$A$1048576)</f>
        <v>46310</v>
      </c>
      <c r="N37">
        <f>+VLOOKUP(A37,[1]CER_implicito!$A:$G,6)</f>
        <v>810.8678024217777</v>
      </c>
      <c r="O37" s="6">
        <f t="shared" si="1"/>
        <v>1.8719595768565078E-2</v>
      </c>
      <c r="P37" s="1">
        <v>46171</v>
      </c>
      <c r="Q37" s="1">
        <f>+WORKDAY.INTL(P37,-10,1,Feriados!$A$2:$A$1048576)</f>
        <v>46156</v>
      </c>
      <c r="R37">
        <f>+VLOOKUP(A37,[1]CER_implicito!$A:$G,7)</f>
        <v>747.30030993878984</v>
      </c>
      <c r="S37" s="6">
        <f t="shared" si="5"/>
        <v>2.2210010324367202E-2</v>
      </c>
      <c r="T37" s="1">
        <f t="shared" si="3"/>
        <v>46507</v>
      </c>
      <c r="U37" s="1">
        <f t="shared" si="4"/>
        <v>46493</v>
      </c>
      <c r="V37">
        <f>+VLOOKUP(A37,[1]CER_implicito!$A:$G,5)</f>
        <v>884.95022930566154</v>
      </c>
      <c r="W37" s="6">
        <f t="shared" si="2"/>
        <v>1.6998107121090289E-2</v>
      </c>
      <c r="X37" s="1"/>
      <c r="Y37" s="1"/>
      <c r="AA37" s="6"/>
      <c r="AB37" s="1"/>
      <c r="AC37" s="1"/>
      <c r="AE37" s="6"/>
      <c r="AF37" s="1"/>
      <c r="AG37" s="1"/>
      <c r="AI37" s="6"/>
      <c r="AJ37" s="1"/>
      <c r="AK37" s="1"/>
      <c r="AM37" s="6"/>
    </row>
    <row r="38" spans="1:39" x14ac:dyDescent="0.4">
      <c r="A38" s="1">
        <f>+[1]CER_implicito!$A455</f>
        <v>46030</v>
      </c>
      <c r="B38" s="1">
        <v>46037</v>
      </c>
      <c r="C38">
        <f>+VLOOKUP(B38,'Sheet1 (2)'!A:C,3)</f>
        <v>684.94018740033619</v>
      </c>
      <c r="D38" s="1">
        <v>46112</v>
      </c>
      <c r="E38" s="1">
        <f t="shared" ref="E38" si="9">+E37</f>
        <v>46094</v>
      </c>
      <c r="F38">
        <f>+VLOOKUP(A38,[1]CER_implicito!$A:$G,3)</f>
        <v>716.7000341314083</v>
      </c>
      <c r="G38" s="25">
        <f t="shared" si="6"/>
        <v>2.414254709039354E-2</v>
      </c>
      <c r="H38" s="1">
        <v>46202</v>
      </c>
      <c r="I38" s="1">
        <f>+WORKDAY.INTL(H38,-10,1,Feriados!$A$2:$A$1048576)</f>
        <v>46184</v>
      </c>
      <c r="J38">
        <f>+VLOOKUP(A38,[1]CER_implicito!$A:$G,4)</f>
        <v>759.08263290993489</v>
      </c>
      <c r="K38" s="6">
        <f t="shared" si="0"/>
        <v>2.119686016082678E-2</v>
      </c>
      <c r="L38" s="1">
        <v>46324</v>
      </c>
      <c r="M38" s="1">
        <f>+WORKDAY.INTL(L38,-10,1,Feriados!$A$2:$A$1048576)</f>
        <v>46310</v>
      </c>
      <c r="N38">
        <f>+VLOOKUP(A38,[1]CER_implicito!$A:$G,6)</f>
        <v>810.54381421030473</v>
      </c>
      <c r="O38" s="6">
        <f t="shared" si="1"/>
        <v>1.8674858479752254E-2</v>
      </c>
      <c r="P38" s="1">
        <v>46171</v>
      </c>
      <c r="Q38" s="1">
        <f>+WORKDAY.INTL(P38,-10,1,Feriados!$A$2:$A$1048576)</f>
        <v>46156</v>
      </c>
      <c r="R38">
        <f>+VLOOKUP(A38,[1]CER_implicito!$A:$G,7)</f>
        <v>746.30785884659872</v>
      </c>
      <c r="S38" s="6">
        <f t="shared" si="5"/>
        <v>2.1867602114846285E-2</v>
      </c>
      <c r="T38" s="1">
        <f t="shared" si="3"/>
        <v>46507</v>
      </c>
      <c r="U38" s="1">
        <f t="shared" si="4"/>
        <v>46493</v>
      </c>
      <c r="V38">
        <f>+VLOOKUP(A38,[1]CER_implicito!$A:$G,5)</f>
        <v>885.5187446869287</v>
      </c>
      <c r="W38" s="6">
        <f t="shared" si="2"/>
        <v>1.7041077545249639E-2</v>
      </c>
      <c r="X38" s="1"/>
      <c r="Y38" s="1"/>
      <c r="AA38" s="6"/>
      <c r="AB38" s="1"/>
      <c r="AC38" s="1"/>
      <c r="AE38" s="6"/>
      <c r="AF38" s="1"/>
      <c r="AG38" s="1"/>
      <c r="AI38" s="6"/>
      <c r="AJ38" s="1"/>
      <c r="AK38" s="1"/>
      <c r="AM38" s="6"/>
    </row>
    <row r="39" spans="1:39" x14ac:dyDescent="0.4">
      <c r="A39" s="1">
        <f>+[1]CER_implicito!$A456</f>
        <v>46031</v>
      </c>
      <c r="B39" s="1">
        <v>46037</v>
      </c>
      <c r="C39">
        <f>+VLOOKUP(B39,'Sheet1 (2)'!A:C,3)</f>
        <v>684.94018740033619</v>
      </c>
      <c r="D39" s="1">
        <v>46112</v>
      </c>
      <c r="E39" s="1">
        <f>+WORKDAY.INTL(D39,-10,1,Feriados!$A$2:$A$1048576)</f>
        <v>46094</v>
      </c>
      <c r="F39">
        <f>+VLOOKUP(A39,[1]CER_implicito!$A:$G,3)</f>
        <v>718.89297404507533</v>
      </c>
      <c r="G39" s="25">
        <f t="shared" si="6"/>
        <v>2.5790640214407023E-2</v>
      </c>
      <c r="H39" s="1">
        <v>46202</v>
      </c>
      <c r="I39" s="1">
        <f>+WORKDAY.INTL(H39,-10,1,Feriados!$A$2:$A$1048576)</f>
        <v>46184</v>
      </c>
      <c r="J39">
        <f>+VLOOKUP(A39,[1]CER_implicito!$A:$G,4)</f>
        <v>764.31617790348037</v>
      </c>
      <c r="K39" s="6">
        <f t="shared" si="0"/>
        <v>2.2629813240067298E-2</v>
      </c>
      <c r="L39" s="1">
        <v>46324</v>
      </c>
      <c r="M39" s="1">
        <f>+WORKDAY.INTL(L39,-10,1,Feriados!$A$2:$A$1048576)</f>
        <v>46310</v>
      </c>
      <c r="N39">
        <f>+VLOOKUP(A39,[1]CER_implicito!$A:$G,6)</f>
        <v>816.27809444006732</v>
      </c>
      <c r="O39" s="6">
        <f t="shared" si="1"/>
        <v>1.9464323920092674E-2</v>
      </c>
      <c r="P39" s="1">
        <v>46171</v>
      </c>
      <c r="Q39" s="1">
        <f>+WORKDAY.INTL(P39,-10,1,Feriados!$A$2:$A$1048576)</f>
        <v>46156</v>
      </c>
      <c r="R39">
        <f>+VLOOKUP(A39,[1]CER_implicito!$A:$G,7)</f>
        <v>749.64418596319126</v>
      </c>
      <c r="S39" s="6">
        <f t="shared" si="5"/>
        <v>2.3017329288130606E-2</v>
      </c>
      <c r="T39" s="1">
        <f t="shared" si="3"/>
        <v>46507</v>
      </c>
      <c r="U39" s="1">
        <f t="shared" si="4"/>
        <v>46493</v>
      </c>
      <c r="V39">
        <f>+VLOOKUP(A39,[1]CER_implicito!$A:$G,5)</f>
        <v>890.19259590171555</v>
      </c>
      <c r="W39" s="6">
        <f t="shared" si="2"/>
        <v>1.7393370230845084E-2</v>
      </c>
      <c r="X39" s="1"/>
      <c r="Y39" s="1"/>
      <c r="AA39" s="6"/>
      <c r="AB39" s="1"/>
      <c r="AC39" s="1"/>
      <c r="AE39" s="6"/>
      <c r="AF39" s="1"/>
      <c r="AG39" s="1"/>
      <c r="AI39" s="6"/>
      <c r="AJ39" s="1"/>
      <c r="AK39" s="1"/>
      <c r="AM39" s="6"/>
    </row>
    <row r="40" spans="1:39" x14ac:dyDescent="0.4">
      <c r="A40" s="1">
        <f>+[1]CER_implicito!$A457</f>
        <v>46034</v>
      </c>
      <c r="B40" s="1">
        <v>46037</v>
      </c>
      <c r="C40">
        <f>+VLOOKUP(B40,'Sheet1 (2)'!A:C,3)</f>
        <v>684.94018740033619</v>
      </c>
      <c r="D40" s="1">
        <v>46112</v>
      </c>
      <c r="E40" s="1">
        <f t="shared" ref="E40" si="10">+E39</f>
        <v>46094</v>
      </c>
      <c r="F40">
        <f>+VLOOKUP(A40,[1]CER_implicito!$A:$G,3)</f>
        <v>717.3647537221367</v>
      </c>
      <c r="G40" s="25">
        <f t="shared" si="6"/>
        <v>2.464236578420187E-2</v>
      </c>
      <c r="H40" s="1">
        <v>46202</v>
      </c>
      <c r="I40" s="1">
        <f>+WORKDAY.INTL(H40,-10,1,Feriados!$A$2:$A$1048576)</f>
        <v>46184</v>
      </c>
      <c r="J40">
        <f>+VLOOKUP(A40,[1]CER_implicito!$A:$G,4)</f>
        <v>765.30477289854559</v>
      </c>
      <c r="K40" s="6">
        <f t="shared" si="0"/>
        <v>2.2899614699035453E-2</v>
      </c>
      <c r="L40" s="1">
        <v>46324</v>
      </c>
      <c r="M40" s="1">
        <f>+WORKDAY.INTL(L40,-10,1,Feriados!$A$2:$A$1048576)</f>
        <v>46310</v>
      </c>
      <c r="N40">
        <f>+VLOOKUP(A40,[1]CER_implicito!$A:$G,6)</f>
        <v>813.28385875196966</v>
      </c>
      <c r="O40" s="6">
        <f t="shared" si="1"/>
        <v>1.9052711432751002E-2</v>
      </c>
      <c r="P40" s="1">
        <v>46171</v>
      </c>
      <c r="Q40" s="1">
        <f>+WORKDAY.INTL(P40,-10,1,Feriados!$A$2:$A$1048576)</f>
        <v>46156</v>
      </c>
      <c r="R40">
        <f>+VLOOKUP(A40,[1]CER_implicito!$A:$G,7)</f>
        <v>748.66841513749137</v>
      </c>
      <c r="S40" s="6">
        <f t="shared" si="5"/>
        <v>2.2681466849102661E-2</v>
      </c>
      <c r="T40" s="1">
        <f t="shared" si="3"/>
        <v>46507</v>
      </c>
      <c r="U40" s="1">
        <f t="shared" si="4"/>
        <v>46493</v>
      </c>
      <c r="V40">
        <f>+VLOOKUP(A40,[1]CER_implicito!$A:$G,5)</f>
        <v>891.9606835215518</v>
      </c>
      <c r="W40" s="6">
        <f t="shared" si="2"/>
        <v>1.7526189941379E-2</v>
      </c>
      <c r="X40" s="1"/>
      <c r="Y40" s="1"/>
      <c r="AA40" s="6"/>
      <c r="AB40" s="1"/>
      <c r="AC40" s="1"/>
      <c r="AE40" s="6"/>
      <c r="AF40" s="1"/>
      <c r="AG40" s="1"/>
      <c r="AI40" s="6"/>
      <c r="AJ40" s="1"/>
      <c r="AK40" s="1"/>
      <c r="AM40" s="6"/>
    </row>
    <row r="41" spans="1:39" x14ac:dyDescent="0.4">
      <c r="A41" s="1">
        <f>+[1]CER_implicito!$A458</f>
        <v>46035</v>
      </c>
      <c r="B41" s="1">
        <v>46037</v>
      </c>
      <c r="C41">
        <f>+VLOOKUP(B41,'Sheet1 (2)'!A:C,3)</f>
        <v>684.94018740033619</v>
      </c>
      <c r="D41" s="1">
        <v>46112</v>
      </c>
      <c r="E41" s="1">
        <f>+WORKDAY.INTL(D41,-10,1,Feriados!$A$2:$A$1048576)</f>
        <v>46094</v>
      </c>
      <c r="F41">
        <f>+VLOOKUP(A41,[1]CER_implicito!$A:$G,3)</f>
        <v>719.5687428520597</v>
      </c>
      <c r="G41" s="25">
        <f t="shared" si="6"/>
        <v>2.629803076863757E-2</v>
      </c>
      <c r="H41" s="1">
        <v>46202</v>
      </c>
      <c r="I41" s="1">
        <f>+WORKDAY.INTL(H41,-10,1,Feriados!$A$2:$A$1048576)</f>
        <v>46184</v>
      </c>
      <c r="J41">
        <f>+VLOOKUP(A41,[1]CER_implicito!$A:$G,4)</f>
        <v>766.03342344613964</v>
      </c>
      <c r="K41" s="6">
        <f t="shared" si="0"/>
        <v>2.3098296147545438E-2</v>
      </c>
      <c r="L41" s="1">
        <v>46324</v>
      </c>
      <c r="M41" s="1">
        <f>+WORKDAY.INTL(L41,-10,1,Feriados!$A$2:$A$1048576)</f>
        <v>46310</v>
      </c>
      <c r="N41">
        <f>+VLOOKUP(A41,[1]CER_implicito!$A:$G,6)</f>
        <v>815.82022873325491</v>
      </c>
      <c r="O41" s="6">
        <f t="shared" si="1"/>
        <v>1.9401469032087393E-2</v>
      </c>
      <c r="P41" s="1">
        <v>46171</v>
      </c>
      <c r="Q41" s="1">
        <f>+WORKDAY.INTL(P41,-10,1,Feriados!$A$2:$A$1048576)</f>
        <v>46156</v>
      </c>
      <c r="R41">
        <f>+VLOOKUP(A41,[1]CER_implicito!$A:$G,7)</f>
        <v>751.7417545851614</v>
      </c>
      <c r="S41" s="6">
        <f t="shared" si="5"/>
        <v>2.3738211593740788E-2</v>
      </c>
      <c r="T41" s="1">
        <f t="shared" si="3"/>
        <v>46507</v>
      </c>
      <c r="U41" s="1">
        <f t="shared" si="4"/>
        <v>46493</v>
      </c>
      <c r="V41">
        <f>+VLOOKUP(A41,[1]CER_implicito!$A:$G,5)</f>
        <v>895.17880117573736</v>
      </c>
      <c r="W41" s="6">
        <f t="shared" si="2"/>
        <v>1.7767306697403562E-2</v>
      </c>
      <c r="X41" s="1"/>
      <c r="Y41" s="1"/>
      <c r="AA41" s="6"/>
      <c r="AB41" s="1"/>
      <c r="AC41" s="1"/>
      <c r="AE41" s="6"/>
      <c r="AF41" s="1"/>
      <c r="AG41" s="1"/>
      <c r="AI41" s="6"/>
      <c r="AJ41" s="1"/>
      <c r="AK41" s="1"/>
      <c r="AM41" s="6"/>
    </row>
    <row r="42" spans="1:39" x14ac:dyDescent="0.4">
      <c r="A42" s="1">
        <f>+[1]CER_implicito!$A459</f>
        <v>46036</v>
      </c>
      <c r="B42" s="1">
        <v>46037</v>
      </c>
      <c r="C42">
        <f>+VLOOKUP(B42,'Sheet1 (2)'!A:C,3)</f>
        <v>684.94018740033619</v>
      </c>
      <c r="D42" s="1">
        <v>46112</v>
      </c>
      <c r="E42" s="1">
        <f t="shared" ref="E42" si="11">+E41</f>
        <v>46094</v>
      </c>
      <c r="F42">
        <f>+VLOOKUP(A42,[1]CER_implicito!$A:$G,3)</f>
        <v>719.77816519403166</v>
      </c>
      <c r="G42" s="25">
        <f t="shared" si="6"/>
        <v>2.6455226476603366E-2</v>
      </c>
      <c r="H42" s="1">
        <v>46202</v>
      </c>
      <c r="I42" s="1">
        <f>+WORKDAY.INTL(H42,-10,1,Feriados!$A$2:$A$1048576)</f>
        <v>46184</v>
      </c>
      <c r="J42">
        <f>+VLOOKUP(A42,[1]CER_implicito!$A:$G,4)</f>
        <v>765.16612131451416</v>
      </c>
      <c r="K42" s="6">
        <f t="shared" si="0"/>
        <v>2.2861791464725334E-2</v>
      </c>
      <c r="L42" s="1">
        <v>46324</v>
      </c>
      <c r="M42" s="1">
        <f>+WORKDAY.INTL(L42,-10,1,Feriados!$A$2:$A$1048576)</f>
        <v>46310</v>
      </c>
      <c r="N42">
        <f>+VLOOKUP(A42,[1]CER_implicito!$A:$G,6)</f>
        <v>815.2103042013847</v>
      </c>
      <c r="O42" s="6">
        <f t="shared" si="1"/>
        <v>1.931769102163905E-2</v>
      </c>
      <c r="P42" s="1">
        <v>46171</v>
      </c>
      <c r="Q42" s="1">
        <f>+WORKDAY.INTL(P42,-10,1,Feriados!$A$2:$A$1048576)</f>
        <v>46156</v>
      </c>
      <c r="R42">
        <f>+VLOOKUP(A42,[1]CER_implicito!$A:$G,7)</f>
        <v>751.78007151245288</v>
      </c>
      <c r="S42" s="6">
        <f t="shared" si="5"/>
        <v>2.3751366172063415E-2</v>
      </c>
      <c r="T42" s="1">
        <f t="shared" si="3"/>
        <v>46507</v>
      </c>
      <c r="U42" s="1">
        <f t="shared" si="4"/>
        <v>46493</v>
      </c>
      <c r="V42">
        <f>+VLOOKUP(A42,[1]CER_implicito!$A:$G,5)</f>
        <v>893.68771601822334</v>
      </c>
      <c r="W42" s="6">
        <f t="shared" si="2"/>
        <v>1.7655688321075447E-2</v>
      </c>
      <c r="X42" s="1"/>
      <c r="Y42" s="1"/>
      <c r="AA42" s="6"/>
      <c r="AB42" s="1"/>
      <c r="AC42" s="1"/>
      <c r="AE42" s="6"/>
      <c r="AF42" s="1"/>
      <c r="AG42" s="1"/>
      <c r="AI42" s="6"/>
      <c r="AJ42" s="1"/>
      <c r="AK42" s="1"/>
      <c r="AM42" s="6"/>
    </row>
    <row r="43" spans="1:39" x14ac:dyDescent="0.4">
      <c r="A43" s="1">
        <f>+[1]CER_implicito!$A460</f>
        <v>46037</v>
      </c>
      <c r="B43" s="1">
        <v>46068</v>
      </c>
      <c r="C43">
        <f>+VLOOKUP(B43,'Sheet1 (2)'!A:C,3)</f>
        <v>704.11851264754387</v>
      </c>
      <c r="D43" s="1">
        <v>46112</v>
      </c>
      <c r="E43" s="1">
        <f>+WORKDAY.INTL(D43,-10,1,Feriados!$A$2:$A$1048576)</f>
        <v>46094</v>
      </c>
      <c r="F43">
        <f>+VLOOKUP(A43,[1]CER_implicito!$A:$G,3)</f>
        <v>720.00404785478474</v>
      </c>
      <c r="G43" s="25">
        <f t="shared" si="6"/>
        <v>2.6076680202255176E-2</v>
      </c>
      <c r="H43" s="1">
        <v>46202</v>
      </c>
      <c r="I43" s="1">
        <f>+WORKDAY.INTL(H43,-10,1,Feriados!$A$2:$A$1048576)</f>
        <v>46184</v>
      </c>
      <c r="J43">
        <f>+VLOOKUP(A43,[1]CER_implicito!$A:$G,4)</f>
        <v>766.54647877222408</v>
      </c>
      <c r="K43" s="6">
        <f t="shared" si="0"/>
        <v>2.2212584565172389E-2</v>
      </c>
      <c r="L43" s="1">
        <v>46324</v>
      </c>
      <c r="M43" s="1">
        <f>+WORKDAY.INTL(L43,-10,1,Feriados!$A$2:$A$1048576)</f>
        <v>46310</v>
      </c>
      <c r="N43">
        <f>+VLOOKUP(A43,[1]CER_implicito!$A:$G,6)</f>
        <v>812.66992145467941</v>
      </c>
      <c r="O43" s="6">
        <f t="shared" si="1"/>
        <v>1.7933075394632958E-2</v>
      </c>
      <c r="P43" s="1">
        <v>46171</v>
      </c>
      <c r="Q43" s="1">
        <f>+WORKDAY.INTL(P43,-10,1,Feriados!$A$2:$A$1048576)</f>
        <v>46156</v>
      </c>
      <c r="R43">
        <f>+VLOOKUP(A43,[1]CER_implicito!$A:$G,7)</f>
        <v>752.03996858555081</v>
      </c>
      <c r="S43" s="6">
        <f t="shared" si="5"/>
        <v>2.270022122830051E-2</v>
      </c>
      <c r="T43" s="1">
        <f t="shared" si="3"/>
        <v>46507</v>
      </c>
      <c r="U43" s="1">
        <f t="shared" si="4"/>
        <v>46493</v>
      </c>
      <c r="V43">
        <f>+VLOOKUP(A43,[1]CER_implicito!$A:$G,5)</f>
        <v>888.10964951284416</v>
      </c>
      <c r="W43" s="6">
        <f t="shared" si="2"/>
        <v>1.6521957678234944E-2</v>
      </c>
      <c r="X43" s="1"/>
      <c r="Y43" s="1"/>
      <c r="AA43" s="6"/>
      <c r="AB43" s="1"/>
      <c r="AC43" s="1"/>
      <c r="AE43" s="6"/>
      <c r="AF43" s="1"/>
      <c r="AG43" s="1"/>
      <c r="AI43" s="6"/>
      <c r="AJ43" s="1"/>
      <c r="AK43" s="1"/>
      <c r="AM43" s="6"/>
    </row>
    <row r="44" spans="1:39" x14ac:dyDescent="0.4">
      <c r="A44" s="1">
        <f>+[1]CER_implicito!$A461</f>
        <v>46038</v>
      </c>
      <c r="B44" s="1">
        <v>46068</v>
      </c>
      <c r="C44">
        <f>+VLOOKUP(B44,'Sheet1 (2)'!A:C,3)</f>
        <v>704.11851264754387</v>
      </c>
      <c r="D44" s="1">
        <v>46112</v>
      </c>
      <c r="E44" s="1">
        <f t="shared" ref="E44" si="12">+E43</f>
        <v>46094</v>
      </c>
      <c r="F44">
        <f>+VLOOKUP(A44,[1]CER_implicito!$A:$G,3)</f>
        <v>720.0743586165953</v>
      </c>
      <c r="G44" s="25">
        <f t="shared" si="6"/>
        <v>2.6192296178827901E-2</v>
      </c>
      <c r="H44" s="1">
        <v>46202</v>
      </c>
      <c r="I44" s="1">
        <f>+WORKDAY.INTL(H44,-10,1,Feriados!$A$2:$A$1048576)</f>
        <v>46184</v>
      </c>
      <c r="J44">
        <f>+VLOOKUP(A44,[1]CER_implicito!$A:$G,4)</f>
        <v>767.64326942470461</v>
      </c>
      <c r="K44" s="6">
        <f t="shared" si="0"/>
        <v>2.2590643512484965E-2</v>
      </c>
      <c r="L44" s="1">
        <v>46324</v>
      </c>
      <c r="M44" s="1">
        <f>+WORKDAY.INTL(L44,-10,1,Feriados!$A$2:$A$1048576)</f>
        <v>46310</v>
      </c>
      <c r="N44">
        <f>+VLOOKUP(A44,[1]CER_implicito!$A:$G,6)</f>
        <v>814.97391159951485</v>
      </c>
      <c r="O44" s="6">
        <f t="shared" si="1"/>
        <v>1.8290391714760323E-2</v>
      </c>
      <c r="P44" s="1">
        <v>46171</v>
      </c>
      <c r="Q44" s="1">
        <f>+WORKDAY.INTL(P44,-10,1,Feriados!$A$2:$A$1048576)</f>
        <v>46156</v>
      </c>
      <c r="R44">
        <f>+VLOOKUP(A44,[1]CER_implicito!$A:$G,7)</f>
        <v>754.50008839217287</v>
      </c>
      <c r="S44" s="6">
        <f t="shared" si="5"/>
        <v>2.3839512259863138E-2</v>
      </c>
      <c r="T44" s="1">
        <f t="shared" si="3"/>
        <v>46507</v>
      </c>
      <c r="U44" s="1">
        <f t="shared" si="4"/>
        <v>46493</v>
      </c>
      <c r="V44">
        <f>+VLOOKUP(A44,[1]CER_implicito!$A:$G,5)</f>
        <v>886.05276686277637</v>
      </c>
      <c r="W44" s="6">
        <f t="shared" si="2"/>
        <v>1.6355593477362484E-2</v>
      </c>
      <c r="X44" s="1"/>
      <c r="Y44" s="1"/>
      <c r="AA44" s="6"/>
      <c r="AB44" s="1"/>
      <c r="AC44" s="1"/>
      <c r="AE44" s="6"/>
      <c r="AF44" s="1"/>
      <c r="AG44" s="1"/>
      <c r="AI44" s="6"/>
      <c r="AJ44" s="1"/>
      <c r="AK44" s="1"/>
      <c r="AM44" s="6"/>
    </row>
    <row r="45" spans="1:39" x14ac:dyDescent="0.4">
      <c r="A45" s="1">
        <f>+[1]CER_implicito!$A462</f>
        <v>46041</v>
      </c>
      <c r="B45" s="1">
        <v>46068</v>
      </c>
      <c r="C45">
        <f>+VLOOKUP(B45,'Sheet1 (2)'!A:C,3)</f>
        <v>704.11851264754387</v>
      </c>
      <c r="D45" s="1">
        <v>46112</v>
      </c>
      <c r="E45" s="1">
        <f>+WORKDAY.INTL(D45,-10,1,Feriados!$A$2:$A$1048576)</f>
        <v>46094</v>
      </c>
      <c r="F45">
        <f>+VLOOKUP(A45,[1]CER_implicito!$A:$G,3)</f>
        <v>717.22469607986795</v>
      </c>
      <c r="G45" s="25">
        <f t="shared" si="6"/>
        <v>2.1507827196698193E-2</v>
      </c>
      <c r="H45" s="1">
        <v>46202</v>
      </c>
      <c r="I45" s="1">
        <f>+WORKDAY.INTL(H45,-10,1,Feriados!$A$2:$A$1048576)</f>
        <v>46184</v>
      </c>
      <c r="J45">
        <f>+VLOOKUP(A45,[1]CER_implicito!$A:$G,4)</f>
        <v>762.62608220578693</v>
      </c>
      <c r="K45" s="6">
        <f t="shared" si="0"/>
        <v>2.0857953539864971E-2</v>
      </c>
      <c r="L45" s="1">
        <v>46324</v>
      </c>
      <c r="M45" s="1">
        <f>+WORKDAY.INTL(L45,-10,1,Feriados!$A$2:$A$1048576)</f>
        <v>46310</v>
      </c>
      <c r="N45">
        <f>+VLOOKUP(A45,[1]CER_implicito!$A:$G,6)</f>
        <v>807.43289318993789</v>
      </c>
      <c r="O45" s="6">
        <f t="shared" si="1"/>
        <v>1.7117573560695432E-2</v>
      </c>
      <c r="P45" s="1">
        <v>46171</v>
      </c>
      <c r="Q45" s="1">
        <f>+WORKDAY.INTL(P45,-10,1,Feriados!$A$2:$A$1048576)</f>
        <v>46156</v>
      </c>
      <c r="R45">
        <f>+VLOOKUP(A45,[1]CER_implicito!$A:$G,7)</f>
        <v>751.8347642150876</v>
      </c>
      <c r="S45" s="6">
        <f t="shared" si="5"/>
        <v>2.2605079360666469E-2</v>
      </c>
      <c r="T45" s="1">
        <f t="shared" si="3"/>
        <v>46507</v>
      </c>
      <c r="U45" s="1">
        <f t="shared" si="4"/>
        <v>46493</v>
      </c>
      <c r="V45">
        <f>+VLOOKUP(A45,[1]CER_implicito!$A:$G,5)</f>
        <v>880.9074630314509</v>
      </c>
      <c r="W45" s="6">
        <f t="shared" si="2"/>
        <v>1.5937855255659494E-2</v>
      </c>
      <c r="X45" s="1"/>
      <c r="Y45" s="1"/>
      <c r="AA45" s="6"/>
      <c r="AB45" s="1"/>
      <c r="AC45" s="1"/>
      <c r="AE45" s="6"/>
      <c r="AF45" s="1"/>
      <c r="AG45" s="1"/>
      <c r="AI45" s="6"/>
      <c r="AJ45" s="1"/>
      <c r="AK45" s="1"/>
      <c r="AM45" s="6"/>
    </row>
    <row r="46" spans="1:39" x14ac:dyDescent="0.4">
      <c r="A46" s="1">
        <f>+[1]CER_implicito!$A463</f>
        <v>46042</v>
      </c>
      <c r="B46" s="1">
        <v>46068</v>
      </c>
      <c r="C46">
        <f>+VLOOKUP(B46,'Sheet1 (2)'!A:C,3)</f>
        <v>704.11851264754387</v>
      </c>
      <c r="D46" s="1">
        <v>46112</v>
      </c>
      <c r="E46" s="1">
        <f t="shared" ref="E46" si="13">+E45</f>
        <v>46094</v>
      </c>
      <c r="F46">
        <f>+VLOOKUP(A46,[1]CER_implicito!$A:$G,3)</f>
        <v>716.26901202832323</v>
      </c>
      <c r="G46" s="25">
        <f t="shared" si="6"/>
        <v>1.993744929407204E-2</v>
      </c>
      <c r="H46" s="1">
        <v>46202</v>
      </c>
      <c r="I46" s="1">
        <f>+WORKDAY.INTL(H46,-10,1,Feriados!$A$2:$A$1048576)</f>
        <v>46184</v>
      </c>
      <c r="J46">
        <f>+VLOOKUP(A46,[1]CER_implicito!$A:$G,4)</f>
        <v>763.16763658261368</v>
      </c>
      <c r="K46" s="6">
        <f t="shared" si="0"/>
        <v>2.104538595849359E-2</v>
      </c>
      <c r="L46" s="1">
        <v>46324</v>
      </c>
      <c r="M46" s="1">
        <f>+WORKDAY.INTL(L46,-10,1,Feriados!$A$2:$A$1048576)</f>
        <v>46310</v>
      </c>
      <c r="N46">
        <f>+VLOOKUP(A46,[1]CER_implicito!$A:$G,6)</f>
        <v>807.66083848991855</v>
      </c>
      <c r="O46" s="6">
        <f t="shared" si="1"/>
        <v>1.7153165164148776E-2</v>
      </c>
      <c r="P46" s="1">
        <v>46171</v>
      </c>
      <c r="Q46" s="1">
        <f>+WORKDAY.INTL(P46,-10,1,Feriados!$A$2:$A$1048576)</f>
        <v>46156</v>
      </c>
      <c r="R46">
        <f>+VLOOKUP(A46,[1]CER_implicito!$A:$G,7)</f>
        <v>747.87708793788738</v>
      </c>
      <c r="S46" s="6">
        <f t="shared" si="5"/>
        <v>2.0766766934221081E-2</v>
      </c>
      <c r="T46" s="1">
        <f t="shared" si="3"/>
        <v>46507</v>
      </c>
      <c r="U46" s="1">
        <f t="shared" si="4"/>
        <v>46493</v>
      </c>
      <c r="V46">
        <f>+VLOOKUP(A46,[1]CER_implicito!$A:$G,5)</f>
        <v>878.56205534985986</v>
      </c>
      <c r="W46" s="6">
        <f t="shared" si="2"/>
        <v>1.5746682741420326E-2</v>
      </c>
      <c r="X46" s="1"/>
      <c r="Y46" s="1"/>
      <c r="AA46" s="6"/>
      <c r="AB46" s="1"/>
      <c r="AC46" s="1"/>
      <c r="AE46" s="6"/>
      <c r="AF46" s="1"/>
      <c r="AG46" s="1"/>
      <c r="AI46" s="6"/>
      <c r="AJ46" s="1"/>
      <c r="AK46" s="1"/>
      <c r="AM46" s="6"/>
    </row>
    <row r="47" spans="1:39" x14ac:dyDescent="0.4">
      <c r="A47" s="1">
        <f>+[1]CER_implicito!$A464</f>
        <v>46043</v>
      </c>
      <c r="B47" s="1">
        <v>46068</v>
      </c>
      <c r="C47">
        <f>+VLOOKUP(B47,'Sheet1 (2)'!A:C,3)</f>
        <v>704.11851264754387</v>
      </c>
      <c r="D47" s="1">
        <v>46112</v>
      </c>
      <c r="E47" s="1">
        <f>+WORKDAY.INTL(D47,-10,1,Feriados!$A$2:$A$1048576)</f>
        <v>46094</v>
      </c>
      <c r="F47">
        <f>+VLOOKUP(A47,[1]CER_implicito!$A:$G,3)</f>
        <v>716.22596033619413</v>
      </c>
      <c r="G47" s="25">
        <f t="shared" si="6"/>
        <v>1.9866714433770971E-2</v>
      </c>
      <c r="H47" s="1">
        <v>46202</v>
      </c>
      <c r="I47" s="1">
        <f>+WORKDAY.INTL(H47,-10,1,Feriados!$A$2:$A$1048576)</f>
        <v>46184</v>
      </c>
      <c r="J47">
        <f>+VLOOKUP(A47,[1]CER_implicito!$A:$G,4)</f>
        <v>761.89587608696968</v>
      </c>
      <c r="K47" s="6">
        <f t="shared" si="0"/>
        <v>2.06050723077702E-2</v>
      </c>
      <c r="L47" s="1">
        <v>46324</v>
      </c>
      <c r="M47" s="1">
        <f>+WORKDAY.INTL(L47,-10,1,Feriados!$A$2:$A$1048576)</f>
        <v>46310</v>
      </c>
      <c r="N47">
        <f>+VLOOKUP(A47,[1]CER_implicito!$A:$G,6)</f>
        <v>811.93471282061637</v>
      </c>
      <c r="O47" s="6">
        <f t="shared" si="1"/>
        <v>1.7818868141312283E-2</v>
      </c>
      <c r="P47" s="1">
        <v>46171</v>
      </c>
      <c r="Q47" s="1">
        <f>+WORKDAY.INTL(P47,-10,1,Feriados!$A$2:$A$1048576)</f>
        <v>46156</v>
      </c>
      <c r="R47">
        <f>+VLOOKUP(A47,[1]CER_implicito!$A:$G,7)</f>
        <v>748.59144282218176</v>
      </c>
      <c r="S47" s="6">
        <f t="shared" si="5"/>
        <v>2.1099053085114061E-2</v>
      </c>
      <c r="T47" s="1">
        <f t="shared" si="3"/>
        <v>46507</v>
      </c>
      <c r="U47" s="1">
        <f t="shared" si="4"/>
        <v>46493</v>
      </c>
      <c r="V47">
        <f>+VLOOKUP(A47,[1]CER_implicito!$A:$G,5)</f>
        <v>880.58327240927463</v>
      </c>
      <c r="W47" s="6">
        <f t="shared" si="2"/>
        <v>1.5911458903679065E-2</v>
      </c>
      <c r="X47" s="1"/>
      <c r="Y47" s="1"/>
      <c r="AA47" s="6"/>
      <c r="AB47" s="1"/>
      <c r="AC47" s="1"/>
      <c r="AE47" s="6"/>
      <c r="AF47" s="1"/>
      <c r="AG47" s="1"/>
      <c r="AI47" s="6"/>
      <c r="AJ47" s="1"/>
      <c r="AK47" s="1"/>
      <c r="AM47" s="6"/>
    </row>
    <row r="48" spans="1:39" x14ac:dyDescent="0.4">
      <c r="A48" s="1">
        <f>+[1]CER_implicito!$A465</f>
        <v>46044</v>
      </c>
      <c r="B48" s="1">
        <v>46068</v>
      </c>
      <c r="C48">
        <f>+VLOOKUP(B48,'Sheet1 (2)'!A:C,3)</f>
        <v>704.11851264754387</v>
      </c>
      <c r="D48" s="1">
        <v>46112</v>
      </c>
      <c r="E48" s="1">
        <f t="shared" ref="E48" si="14">+E47</f>
        <v>46094</v>
      </c>
      <c r="F48">
        <f>+VLOOKUP(A48,[1]CER_implicito!$A:$G,3)</f>
        <v>715.98646684968537</v>
      </c>
      <c r="G48" s="25">
        <f t="shared" si="6"/>
        <v>1.9473233402789836E-2</v>
      </c>
      <c r="H48" s="1">
        <v>46202</v>
      </c>
      <c r="I48" s="1">
        <f>+WORKDAY.INTL(H48,-10,1,Feriados!$A$2:$A$1048576)</f>
        <v>46184</v>
      </c>
      <c r="J48">
        <f>+VLOOKUP(A48,[1]CER_implicito!$A:$G,4)</f>
        <v>761.97148138714738</v>
      </c>
      <c r="K48" s="6">
        <f t="shared" si="0"/>
        <v>2.0631263883812423E-2</v>
      </c>
      <c r="L48" s="1">
        <v>46324</v>
      </c>
      <c r="M48" s="1">
        <f>+WORKDAY.INTL(L48,-10,1,Feriados!$A$2:$A$1048576)</f>
        <v>46310</v>
      </c>
      <c r="N48">
        <f>+VLOOKUP(A48,[1]CER_implicito!$A:$G,6)</f>
        <v>815.5869626652219</v>
      </c>
      <c r="O48" s="6">
        <f t="shared" si="1"/>
        <v>1.8385318205786039E-2</v>
      </c>
      <c r="P48" s="1">
        <v>46171</v>
      </c>
      <c r="Q48" s="1">
        <f>+WORKDAY.INTL(P48,-10,1,Feriados!$A$2:$A$1048576)</f>
        <v>46156</v>
      </c>
      <c r="R48">
        <f>+VLOOKUP(A48,[1]CER_implicito!$A:$G,7)</f>
        <v>746.74777220216322</v>
      </c>
      <c r="S48" s="6">
        <f t="shared" si="5"/>
        <v>2.0241032409474391E-2</v>
      </c>
      <c r="T48" s="1">
        <f t="shared" si="3"/>
        <v>46507</v>
      </c>
      <c r="U48" s="1">
        <f t="shared" si="4"/>
        <v>46493</v>
      </c>
      <c r="V48">
        <f>+VLOOKUP(A48,[1]CER_implicito!$A:$G,5)</f>
        <v>883.85284449799144</v>
      </c>
      <c r="W48" s="6">
        <f t="shared" si="2"/>
        <v>1.6177262261517722E-2</v>
      </c>
      <c r="X48" s="1"/>
      <c r="Y48" s="1"/>
      <c r="AA48" s="6"/>
      <c r="AB48" s="1"/>
      <c r="AC48" s="1"/>
      <c r="AE48" s="6"/>
      <c r="AF48" s="1"/>
      <c r="AG48" s="1"/>
      <c r="AI48" s="6"/>
      <c r="AJ48" s="1"/>
      <c r="AK48" s="1"/>
      <c r="AM48" s="6"/>
    </row>
    <row r="49" spans="1:39" x14ac:dyDescent="0.4">
      <c r="A49" s="1">
        <f>+[1]CER_implicito!$A466</f>
        <v>46045</v>
      </c>
      <c r="B49" s="1">
        <v>46068</v>
      </c>
      <c r="C49">
        <f>+VLOOKUP(B49,'Sheet1 (2)'!A:C,3)</f>
        <v>704.11851264754387</v>
      </c>
      <c r="D49" s="1">
        <v>46112</v>
      </c>
      <c r="E49" s="1">
        <f>+WORKDAY.INTL(D49,-10,1,Feriados!$A$2:$A$1048576)</f>
        <v>46094</v>
      </c>
      <c r="F49">
        <f>+VLOOKUP(A49,[1]CER_implicito!$A:$G,3)</f>
        <v>718.4281258528348</v>
      </c>
      <c r="G49" s="25">
        <f t="shared" si="6"/>
        <v>2.3485758236666321E-2</v>
      </c>
      <c r="H49" s="1">
        <v>46202</v>
      </c>
      <c r="I49" s="1">
        <f>+WORKDAY.INTL(H49,-10,1,Feriados!$A$2:$A$1048576)</f>
        <v>46184</v>
      </c>
      <c r="J49">
        <f>+VLOOKUP(A49,[1]CER_implicito!$A:$G,4)</f>
        <v>763.53058172673093</v>
      </c>
      <c r="K49" s="6">
        <f t="shared" si="0"/>
        <v>2.1170946392950807E-2</v>
      </c>
      <c r="L49" s="1">
        <v>46324</v>
      </c>
      <c r="M49" s="1">
        <f>+WORKDAY.INTL(L49,-10,1,Feriados!$A$2:$A$1048576)</f>
        <v>46310</v>
      </c>
      <c r="N49">
        <f>+VLOOKUP(A49,[1]CER_implicito!$A:$G,6)</f>
        <v>814.5453293391912</v>
      </c>
      <c r="O49" s="6">
        <f t="shared" si="1"/>
        <v>1.8223991714900745E-2</v>
      </c>
      <c r="P49" s="1">
        <v>46171</v>
      </c>
      <c r="Q49" s="1">
        <f>+WORKDAY.INTL(P49,-10,1,Feriados!$A$2:$A$1048576)</f>
        <v>46156</v>
      </c>
      <c r="R49">
        <f>+VLOOKUP(A49,[1]CER_implicito!$A:$G,7)</f>
        <v>748.92502443739534</v>
      </c>
      <c r="S49" s="6">
        <f t="shared" si="5"/>
        <v>2.1254148850364807E-2</v>
      </c>
      <c r="T49" s="1">
        <f t="shared" si="3"/>
        <v>46507</v>
      </c>
      <c r="U49" s="1">
        <f t="shared" si="4"/>
        <v>46493</v>
      </c>
      <c r="V49">
        <f>+VLOOKUP(A49,[1]CER_implicito!$A:$G,5)</f>
        <v>882.24257594002495</v>
      </c>
      <c r="W49" s="6">
        <f t="shared" si="2"/>
        <v>1.6046468174298001E-2</v>
      </c>
      <c r="X49" s="1"/>
      <c r="Y49" s="1"/>
      <c r="AA49" s="6"/>
      <c r="AB49" s="1"/>
      <c r="AC49" s="1"/>
      <c r="AE49" s="6"/>
      <c r="AF49" s="1"/>
      <c r="AG49" s="1"/>
      <c r="AI49" s="6"/>
      <c r="AJ49" s="1"/>
      <c r="AK49" s="1"/>
      <c r="AM49" s="6"/>
    </row>
    <row r="50" spans="1:39" x14ac:dyDescent="0.4">
      <c r="A50" s="1">
        <f>+[1]CER_implicito!$A467</f>
        <v>46048</v>
      </c>
      <c r="B50" s="1">
        <v>46068</v>
      </c>
      <c r="C50">
        <f>+VLOOKUP(B50,'Sheet1 (2)'!A:C,3)</f>
        <v>704.11851264754387</v>
      </c>
      <c r="D50" s="1">
        <v>46112</v>
      </c>
      <c r="E50" s="1">
        <f t="shared" ref="E50" si="15">+E49</f>
        <v>46094</v>
      </c>
      <c r="F50">
        <f>+VLOOKUP(A50,[1]CER_implicito!$A:$G,3)</f>
        <v>718.11032145148465</v>
      </c>
      <c r="G50" s="25">
        <f t="shared" si="6"/>
        <v>2.2963372257759795E-2</v>
      </c>
      <c r="H50" s="1">
        <v>46202</v>
      </c>
      <c r="I50" s="1">
        <f>+WORKDAY.INTL(H50,-10,1,Feriados!$A$2:$A$1048576)</f>
        <v>46184</v>
      </c>
      <c r="J50">
        <f>+VLOOKUP(A50,[1]CER_implicito!$A:$G,4)</f>
        <v>763.9105248474832</v>
      </c>
      <c r="K50" s="6">
        <f t="shared" si="0"/>
        <v>2.1302339859362585E-2</v>
      </c>
      <c r="L50" s="1">
        <v>46324</v>
      </c>
      <c r="M50" s="1">
        <f>+WORKDAY.INTL(L50,-10,1,Feriados!$A$2:$A$1048576)</f>
        <v>46310</v>
      </c>
      <c r="N50">
        <f>+VLOOKUP(A50,[1]CER_implicito!$A:$G,6)</f>
        <v>813.44320984286765</v>
      </c>
      <c r="O50" s="6">
        <f t="shared" si="1"/>
        <v>1.8053100329157967E-2</v>
      </c>
      <c r="P50" s="1">
        <v>46171</v>
      </c>
      <c r="Q50" s="1">
        <f>+WORKDAY.INTL(P50,-10,1,Feriados!$A$2:$A$1048576)</f>
        <v>46156</v>
      </c>
      <c r="R50">
        <f>+VLOOKUP(A50,[1]CER_implicito!$A:$G,7)</f>
        <v>749.13663184673544</v>
      </c>
      <c r="S50" s="6">
        <f t="shared" si="5"/>
        <v>2.1352510207132136E-2</v>
      </c>
      <c r="T50" s="1">
        <f t="shared" si="3"/>
        <v>46507</v>
      </c>
      <c r="U50" s="1">
        <f t="shared" si="4"/>
        <v>46493</v>
      </c>
      <c r="V50">
        <f>+VLOOKUP(A50,[1]CER_implicito!$A:$G,5)</f>
        <v>883.08057151376738</v>
      </c>
      <c r="W50" s="6">
        <f t="shared" si="2"/>
        <v>1.6114562039212688E-2</v>
      </c>
      <c r="X50" s="1"/>
      <c r="Y50" s="1"/>
      <c r="AA50" s="6"/>
      <c r="AB50" s="1"/>
      <c r="AC50" s="1"/>
      <c r="AE50" s="6"/>
      <c r="AF50" s="1"/>
      <c r="AG50" s="1"/>
      <c r="AI50" s="6"/>
      <c r="AJ50" s="1"/>
      <c r="AK50" s="1"/>
      <c r="AM50" s="6"/>
    </row>
    <row r="51" spans="1:39" x14ac:dyDescent="0.4">
      <c r="A51" s="1">
        <f>+[1]CER_implicito!$A468</f>
        <v>46049</v>
      </c>
      <c r="B51" s="1">
        <v>46068</v>
      </c>
      <c r="C51">
        <f>+VLOOKUP(B51,'Sheet1 (2)'!A:C,3)</f>
        <v>704.11851264754387</v>
      </c>
      <c r="D51" s="1">
        <v>46112</v>
      </c>
      <c r="E51" s="1">
        <f>+WORKDAY.INTL(D51,-10,1,Feriados!$A$2:$A$1048576)</f>
        <v>46094</v>
      </c>
      <c r="F51">
        <f>+VLOOKUP(A51,[1]CER_implicito!$A:$G,3)</f>
        <v>718.33142147588046</v>
      </c>
      <c r="G51" s="25">
        <f t="shared" si="6"/>
        <v>2.3326798176471764E-2</v>
      </c>
      <c r="H51" s="1">
        <v>46202</v>
      </c>
      <c r="I51" s="1">
        <f>+WORKDAY.INTL(H51,-10,1,Feriados!$A$2:$A$1048576)</f>
        <v>46184</v>
      </c>
      <c r="J51">
        <f>+VLOOKUP(A51,[1]CER_implicito!$A:$G,4)</f>
        <v>762.71075044289989</v>
      </c>
      <c r="K51" s="6">
        <f t="shared" si="0"/>
        <v>2.0887263793245792E-2</v>
      </c>
      <c r="L51" s="1">
        <v>46324</v>
      </c>
      <c r="M51" s="1">
        <f>+WORKDAY.INTL(L51,-10,1,Feriados!$A$2:$A$1048576)</f>
        <v>46310</v>
      </c>
      <c r="N51">
        <f>+VLOOKUP(A51,[1]CER_implicito!$A:$G,6)</f>
        <v>814.97353728076962</v>
      </c>
      <c r="O51" s="6">
        <f t="shared" si="1"/>
        <v>1.8290333735123232E-2</v>
      </c>
      <c r="P51" s="1">
        <v>46171</v>
      </c>
      <c r="Q51" s="1">
        <f>+WORKDAY.INTL(P51,-10,1,Feriados!$A$2:$A$1048576)</f>
        <v>46156</v>
      </c>
      <c r="R51">
        <f>+VLOOKUP(A51,[1]CER_implicito!$A:$G,7)</f>
        <v>746.84921805093404</v>
      </c>
      <c r="S51" s="6">
        <f t="shared" si="5"/>
        <v>2.0288280283467186E-2</v>
      </c>
      <c r="T51" s="1">
        <f t="shared" si="3"/>
        <v>46507</v>
      </c>
      <c r="U51" s="1">
        <f t="shared" si="4"/>
        <v>46493</v>
      </c>
      <c r="V51">
        <f>+VLOOKUP(A51,[1]CER_implicito!$A:$G,5)</f>
        <v>879.45389424085863</v>
      </c>
      <c r="W51" s="6">
        <f t="shared" si="2"/>
        <v>1.5819431723044453E-2</v>
      </c>
      <c r="X51" s="1"/>
      <c r="Y51" s="1"/>
      <c r="AA51" s="6"/>
      <c r="AB51" s="1"/>
      <c r="AC51" s="1"/>
      <c r="AE51" s="6"/>
      <c r="AF51" s="1"/>
      <c r="AG51" s="1"/>
      <c r="AI51" s="6"/>
      <c r="AJ51" s="1"/>
      <c r="AK51" s="1"/>
      <c r="AM51" s="6"/>
    </row>
    <row r="52" spans="1:39" x14ac:dyDescent="0.4">
      <c r="A52" s="1">
        <f>+[1]CER_implicito!$A469</f>
        <v>46050</v>
      </c>
      <c r="B52" s="1">
        <v>46068</v>
      </c>
      <c r="C52">
        <f>+VLOOKUP(B52,'Sheet1 (2)'!A:C,3)</f>
        <v>704.11851264754387</v>
      </c>
      <c r="D52" s="1">
        <v>46112</v>
      </c>
      <c r="E52" s="1">
        <f t="shared" ref="E52" si="16">+E51</f>
        <v>46094</v>
      </c>
      <c r="F52">
        <f>+VLOOKUP(A52,[1]CER_implicito!$A:$G,3)</f>
        <v>718.48285576714295</v>
      </c>
      <c r="G52" s="25">
        <f t="shared" si="6"/>
        <v>2.3575723260099046E-2</v>
      </c>
      <c r="H52" s="1">
        <v>46202</v>
      </c>
      <c r="I52" s="1">
        <f>+WORKDAY.INTL(H52,-10,1,Feriados!$A$2:$A$1048576)</f>
        <v>46184</v>
      </c>
      <c r="J52">
        <f>+VLOOKUP(A52,[1]CER_implicito!$A:$G,4)</f>
        <v>763.00180030178706</v>
      </c>
      <c r="K52" s="6">
        <f t="shared" si="0"/>
        <v>2.0988000361682246E-2</v>
      </c>
      <c r="L52" s="1">
        <v>46324</v>
      </c>
      <c r="M52" s="1">
        <f>+WORKDAY.INTL(L52,-10,1,Feriados!$A$2:$A$1048576)</f>
        <v>46310</v>
      </c>
      <c r="N52">
        <f>+VLOOKUP(A52,[1]CER_implicito!$A:$G,6)</f>
        <v>811.52554923245475</v>
      </c>
      <c r="O52" s="6">
        <f t="shared" si="1"/>
        <v>1.7755269456025458E-2</v>
      </c>
      <c r="P52" s="1">
        <v>46171</v>
      </c>
      <c r="Q52" s="1">
        <f>+WORKDAY.INTL(P52,-10,1,Feriados!$A$2:$A$1048576)</f>
        <v>46156</v>
      </c>
      <c r="R52">
        <f>+VLOOKUP(A52,[1]CER_implicito!$A:$G,7)</f>
        <v>744.01306907039714</v>
      </c>
      <c r="S52" s="6">
        <f t="shared" si="5"/>
        <v>1.8965761379321044E-2</v>
      </c>
      <c r="T52" s="1">
        <f t="shared" si="3"/>
        <v>46507</v>
      </c>
      <c r="U52" s="1">
        <f t="shared" si="4"/>
        <v>46493</v>
      </c>
      <c r="V52">
        <f>+VLOOKUP(A52,[1]CER_implicito!$A:$G,5)</f>
        <v>878.80294054607305</v>
      </c>
      <c r="W52" s="6">
        <f t="shared" si="2"/>
        <v>1.5766338964714688E-2</v>
      </c>
      <c r="X52" s="1"/>
      <c r="Y52" s="1"/>
      <c r="AA52" s="6"/>
      <c r="AB52" s="1"/>
      <c r="AC52" s="1"/>
      <c r="AE52" s="6"/>
      <c r="AF52" s="1"/>
      <c r="AG52" s="1"/>
      <c r="AI52" s="6"/>
      <c r="AJ52" s="1"/>
      <c r="AK52" s="1"/>
      <c r="AM52" s="6"/>
    </row>
    <row r="53" spans="1:39" x14ac:dyDescent="0.4">
      <c r="A53" s="1">
        <f>+[1]CER_implicito!$A470</f>
        <v>46051</v>
      </c>
      <c r="B53" s="1">
        <v>46068</v>
      </c>
      <c r="C53">
        <f>+VLOOKUP(B53,'Sheet1 (2)'!A:C,3)</f>
        <v>704.11851264754387</v>
      </c>
      <c r="D53" s="1">
        <v>46112</v>
      </c>
      <c r="E53" s="1">
        <f>+WORKDAY.INTL(D53,-10,1,Feriados!$A$2:$A$1048576)</f>
        <v>46094</v>
      </c>
      <c r="F53">
        <f>+VLOOKUP(A53,[1]CER_implicito!$A:$G,3)</f>
        <v>718.41569725041143</v>
      </c>
      <c r="G53" s="25">
        <f t="shared" si="6"/>
        <v>2.3465328249111739E-2</v>
      </c>
      <c r="H53" s="1">
        <v>46202</v>
      </c>
      <c r="I53" s="1">
        <f>+WORKDAY.INTL(H53,-10,1,Feriados!$A$2:$A$1048576)</f>
        <v>46184</v>
      </c>
      <c r="J53">
        <f>+VLOOKUP(A53,[1]CER_implicito!$A:$G,4)</f>
        <v>760.24366636348554</v>
      </c>
      <c r="K53" s="6">
        <f t="shared" si="0"/>
        <v>2.003222358399781E-2</v>
      </c>
      <c r="L53" s="1">
        <v>46324</v>
      </c>
      <c r="M53" s="1">
        <f>+WORKDAY.INTL(L53,-10,1,Feriados!$A$2:$A$1048576)</f>
        <v>46310</v>
      </c>
      <c r="N53">
        <f>+VLOOKUP(A53,[1]CER_implicito!$A:$G,6)</f>
        <v>810.66523867080718</v>
      </c>
      <c r="O53" s="6">
        <f t="shared" si="1"/>
        <v>1.7621454684667359E-2</v>
      </c>
      <c r="P53" s="1">
        <v>46171</v>
      </c>
      <c r="Q53" s="1">
        <f>+WORKDAY.INTL(P53,-10,1,Feriados!$A$2:$A$1048576)</f>
        <v>46156</v>
      </c>
      <c r="R53">
        <f>+VLOOKUP(A53,[1]CER_implicito!$A:$G,7)</f>
        <v>747.06938207501196</v>
      </c>
      <c r="S53" s="6">
        <f t="shared" si="5"/>
        <v>2.0390805977772208E-2</v>
      </c>
      <c r="T53" s="1">
        <f t="shared" si="3"/>
        <v>46507</v>
      </c>
      <c r="U53" s="1">
        <f t="shared" si="4"/>
        <v>46493</v>
      </c>
      <c r="V53">
        <f>+VLOOKUP(A53,[1]CER_implicito!$A:$G,5)</f>
        <v>879.09483662343325</v>
      </c>
      <c r="W53" s="6">
        <f t="shared" si="2"/>
        <v>1.5790150964685612E-2</v>
      </c>
      <c r="X53" s="1"/>
      <c r="Y53" s="1"/>
      <c r="AA53" s="6"/>
      <c r="AB53" s="1"/>
      <c r="AC53" s="1"/>
      <c r="AE53" s="6"/>
      <c r="AF53" s="1"/>
      <c r="AG53" s="1"/>
      <c r="AI53" s="6"/>
      <c r="AJ53" s="1"/>
      <c r="AK53" s="1"/>
      <c r="AM53" s="6"/>
    </row>
    <row r="54" spans="1:39" x14ac:dyDescent="0.4">
      <c r="A54" s="1">
        <f>+[1]CER_implicito!$A471</f>
        <v>46052</v>
      </c>
      <c r="B54" s="1">
        <v>46068</v>
      </c>
      <c r="C54">
        <f>+VLOOKUP(B54,'Sheet1 (2)'!A:C,3)</f>
        <v>704.11851264754387</v>
      </c>
      <c r="D54" s="1">
        <v>46112</v>
      </c>
      <c r="E54" s="1">
        <f t="shared" ref="E54" si="17">+E53</f>
        <v>46094</v>
      </c>
      <c r="F54">
        <f>+VLOOKUP(A54,[1]CER_implicito!$A:$G,3)</f>
        <v>720.14980458799346</v>
      </c>
      <c r="G54" s="25">
        <f t="shared" si="6"/>
        <v>2.6316358203718915E-2</v>
      </c>
      <c r="H54" s="1">
        <v>46202</v>
      </c>
      <c r="I54" s="1">
        <f>+WORKDAY.INTL(H54,-10,1,Feriados!$A$2:$A$1048576)</f>
        <v>46184</v>
      </c>
      <c r="J54">
        <f>+VLOOKUP(A54,[1]CER_implicito!$A:$G,4)</f>
        <v>760.70366390086554</v>
      </c>
      <c r="K54" s="6">
        <f t="shared" si="0"/>
        <v>2.0191805056376522E-2</v>
      </c>
      <c r="L54" s="1">
        <v>46324</v>
      </c>
      <c r="M54" s="1">
        <f>+WORKDAY.INTL(L54,-10,1,Feriados!$A$2:$A$1048576)</f>
        <v>46310</v>
      </c>
      <c r="N54">
        <f>+VLOOKUP(A54,[1]CER_implicito!$A:$G,6)</f>
        <v>809.73450762315974</v>
      </c>
      <c r="O54" s="6">
        <f t="shared" si="1"/>
        <v>1.7476546372344748E-2</v>
      </c>
      <c r="P54" s="1">
        <v>46171</v>
      </c>
      <c r="Q54" s="1">
        <f>+WORKDAY.INTL(P54,-10,1,Feriados!$A$2:$A$1048576)</f>
        <v>46156</v>
      </c>
      <c r="R54">
        <f>+VLOOKUP(A54,[1]CER_implicito!$A:$G,7)</f>
        <v>747.6030306355741</v>
      </c>
      <c r="S54" s="6">
        <f t="shared" si="5"/>
        <v>2.0639232133398577E-2</v>
      </c>
      <c r="T54" s="1">
        <f t="shared" si="3"/>
        <v>46507</v>
      </c>
      <c r="U54" s="1">
        <f t="shared" si="4"/>
        <v>46493</v>
      </c>
      <c r="V54">
        <f>+VLOOKUP(A54,[1]CER_implicito!$A:$G,5)</f>
        <v>879.60801068432966</v>
      </c>
      <c r="W54" s="6">
        <f t="shared" si="2"/>
        <v>1.5831996343621535E-2</v>
      </c>
      <c r="X54" s="1"/>
      <c r="Y54" s="1"/>
      <c r="AA54" s="6"/>
      <c r="AB54" s="1"/>
      <c r="AC54" s="1"/>
      <c r="AE54" s="6"/>
      <c r="AF54" s="1"/>
      <c r="AG54" s="1"/>
      <c r="AI54" s="6"/>
      <c r="AJ54" s="1"/>
      <c r="AK54" s="1"/>
      <c r="AM54" s="6"/>
    </row>
    <row r="55" spans="1:39" x14ac:dyDescent="0.4">
      <c r="A55" s="1">
        <f>+[1]CER_implicito!$A472</f>
        <v>46055</v>
      </c>
      <c r="B55" s="1">
        <v>46068</v>
      </c>
      <c r="C55">
        <f>+VLOOKUP(B55,'Sheet1 (2)'!A:C,3)</f>
        <v>704.11851264754387</v>
      </c>
      <c r="D55" s="1">
        <v>46112</v>
      </c>
      <c r="E55" s="1">
        <f>+WORKDAY.INTL(D55,-10,1,Feriados!$A$2:$A$1048576)</f>
        <v>46094</v>
      </c>
      <c r="F55">
        <f>+VLOOKUP(A55,[1]CER_implicito!$A:$G,3)</f>
        <v>719.55888358417008</v>
      </c>
      <c r="G55" s="25">
        <f t="shared" si="6"/>
        <v>2.5344711642668827E-2</v>
      </c>
      <c r="H55" s="1">
        <v>46202</v>
      </c>
      <c r="I55" s="1">
        <f>+WORKDAY.INTL(H55,-10,1,Feriados!$A$2:$A$1048576)</f>
        <v>46184</v>
      </c>
      <c r="J55">
        <f>+VLOOKUP(A55,[1]CER_implicito!$A:$G,4)</f>
        <v>760.37686484912683</v>
      </c>
      <c r="K55" s="6">
        <f t="shared" si="0"/>
        <v>2.0078439911248802E-2</v>
      </c>
      <c r="L55" s="1">
        <v>46324</v>
      </c>
      <c r="M55" s="1">
        <f>+WORKDAY.INTL(L55,-10,1,Feriados!$A$2:$A$1048576)</f>
        <v>46310</v>
      </c>
      <c r="N55">
        <f>+VLOOKUP(A55,[1]CER_implicito!$A:$G,6)</f>
        <v>807.72176931828358</v>
      </c>
      <c r="O55" s="6">
        <f t="shared" si="1"/>
        <v>1.7162677473158139E-2</v>
      </c>
      <c r="P55" s="1">
        <v>46171</v>
      </c>
      <c r="Q55" s="1">
        <f>+WORKDAY.INTL(P55,-10,1,Feriados!$A$2:$A$1048576)</f>
        <v>46156</v>
      </c>
      <c r="R55">
        <f>+VLOOKUP(A55,[1]CER_implicito!$A:$G,7)</f>
        <v>745.88974086994438</v>
      </c>
      <c r="S55" s="6">
        <f t="shared" si="5"/>
        <v>1.9841239486941165E-2</v>
      </c>
      <c r="T55" s="1">
        <f t="shared" si="3"/>
        <v>46507</v>
      </c>
      <c r="U55" s="1">
        <f t="shared" si="4"/>
        <v>46493</v>
      </c>
      <c r="V55">
        <f>+VLOOKUP(A55,[1]CER_implicito!$A:$G,5)</f>
        <v>879.53131653836851</v>
      </c>
      <c r="W55" s="6">
        <f t="shared" si="2"/>
        <v>1.5825743971039641E-2</v>
      </c>
      <c r="X55" s="1"/>
      <c r="Y55" s="1"/>
      <c r="AA55" s="6"/>
      <c r="AB55" s="1">
        <f t="shared" ref="AB55:AB82" si="18">+AB56</f>
        <v>46233</v>
      </c>
      <c r="AC55" s="1">
        <f>+WORKDAY.INTL(AB55,-10,1,Feriados!$A$2:$A$1048576)</f>
        <v>46219</v>
      </c>
      <c r="AD55">
        <f>+VLOOKUP(A55,[1]CER_implicito!$A:$I,9)</f>
        <v>774.7323684485267</v>
      </c>
      <c r="AE55" s="6">
        <f t="shared" ref="AE55:AE83" si="19">+(AD55/C55)^(30/(AC55-B55))-1</f>
        <v>1.9169017901838004E-2</v>
      </c>
      <c r="AF55" s="1"/>
      <c r="AG55" s="1"/>
      <c r="AI55" s="6"/>
      <c r="AJ55" s="1">
        <f t="shared" ref="AJ55:AJ82" si="20">+AJ56</f>
        <v>46355</v>
      </c>
      <c r="AK55" s="1">
        <f>+WORKDAY.INTL(AJ55,-10,1,Feriados!$A$2:$A$1048576)</f>
        <v>46339</v>
      </c>
      <c r="AL55">
        <f>+VLOOKUP(A55,[1]CER_implicito!$A:$K,11)</f>
        <v>829.14165409880445</v>
      </c>
      <c r="AM55" s="6">
        <f t="shared" ref="AM55:AM83" si="21">+(AL55/C55)^(30/(AK55-B55))-1</f>
        <v>1.8258146785260276E-2</v>
      </c>
    </row>
    <row r="56" spans="1:39" x14ac:dyDescent="0.4">
      <c r="A56" s="1">
        <f>+[1]CER_implicito!$A473</f>
        <v>46056</v>
      </c>
      <c r="B56" s="1">
        <v>46068</v>
      </c>
      <c r="C56">
        <f>+VLOOKUP(B56,'Sheet1 (2)'!A:C,3)</f>
        <v>704.11851264754387</v>
      </c>
      <c r="D56" s="1">
        <v>46112</v>
      </c>
      <c r="E56" s="1">
        <f t="shared" ref="E56" si="22">+E55</f>
        <v>46094</v>
      </c>
      <c r="F56">
        <f>+VLOOKUP(A56,[1]CER_implicito!$A:$G,3)</f>
        <v>719.33058915297408</v>
      </c>
      <c r="G56" s="25">
        <f t="shared" si="6"/>
        <v>2.4969361849479066E-2</v>
      </c>
      <c r="H56" s="1">
        <v>46202</v>
      </c>
      <c r="I56" s="1">
        <f>+WORKDAY.INTL(H56,-10,1,Feriados!$A$2:$A$1048576)</f>
        <v>46184</v>
      </c>
      <c r="J56">
        <f>+VLOOKUP(A56,[1]CER_implicito!$A:$G,4)</f>
        <v>761.97848118932382</v>
      </c>
      <c r="K56" s="6">
        <f t="shared" si="0"/>
        <v>2.0633688693750818E-2</v>
      </c>
      <c r="L56" s="1">
        <v>46324</v>
      </c>
      <c r="M56" s="1">
        <f>+WORKDAY.INTL(L56,-10,1,Feriados!$A$2:$A$1048576)</f>
        <v>46310</v>
      </c>
      <c r="N56">
        <f>+VLOOKUP(A56,[1]CER_implicito!$A:$G,6)</f>
        <v>812.69067134737486</v>
      </c>
      <c r="O56" s="6">
        <f t="shared" si="1"/>
        <v>1.7936297367856957E-2</v>
      </c>
      <c r="P56" s="1">
        <v>46171</v>
      </c>
      <c r="Q56" s="1">
        <f>+WORKDAY.INTL(P56,-10,1,Feriados!$A$2:$A$1048576)</f>
        <v>46156</v>
      </c>
      <c r="R56">
        <f>+VLOOKUP(A56,[1]CER_implicito!$A:$G,7)</f>
        <v>750.11440217384506</v>
      </c>
      <c r="S56" s="6">
        <f t="shared" si="5"/>
        <v>2.1806769015916938E-2</v>
      </c>
      <c r="T56" s="1">
        <f t="shared" si="3"/>
        <v>46507</v>
      </c>
      <c r="U56" s="1">
        <f t="shared" si="4"/>
        <v>46493</v>
      </c>
      <c r="V56">
        <f>+VLOOKUP(A56,[1]CER_implicito!$A:$G,5)</f>
        <v>880.26680499259965</v>
      </c>
      <c r="W56" s="6">
        <f t="shared" si="2"/>
        <v>1.5885682679780633E-2</v>
      </c>
      <c r="X56" s="1"/>
      <c r="Y56" s="1"/>
      <c r="AA56" s="6"/>
      <c r="AB56" s="1">
        <f t="shared" si="18"/>
        <v>46233</v>
      </c>
      <c r="AC56" s="1">
        <f>+WORKDAY.INTL(AB56,-10,1,Feriados!$A$2:$A$1048576)</f>
        <v>46219</v>
      </c>
      <c r="AD56">
        <f>+VLOOKUP(A56,[1]CER_implicito!$A:$I,9)</f>
        <v>779.68210309387405</v>
      </c>
      <c r="AE56" s="6">
        <f t="shared" si="19"/>
        <v>2.0459380759961565E-2</v>
      </c>
      <c r="AF56" s="1"/>
      <c r="AG56" s="1"/>
      <c r="AI56" s="6"/>
      <c r="AJ56" s="1">
        <f t="shared" si="20"/>
        <v>46355</v>
      </c>
      <c r="AK56" s="1">
        <f>+WORKDAY.INTL(AJ56,-10,1,Feriados!$A$2:$A$1048576)</f>
        <v>46339</v>
      </c>
      <c r="AL56">
        <f>+VLOOKUP(A56,[1]CER_implicito!$A:$K,11)</f>
        <v>824.50380698992149</v>
      </c>
      <c r="AM56" s="6">
        <f t="shared" si="21"/>
        <v>1.7626054943071567E-2</v>
      </c>
    </row>
    <row r="57" spans="1:39" x14ac:dyDescent="0.4">
      <c r="A57" s="1">
        <f>+[1]CER_implicito!$A474</f>
        <v>46057</v>
      </c>
      <c r="B57" s="1">
        <v>46068</v>
      </c>
      <c r="C57">
        <f>+VLOOKUP(B57,'Sheet1 (2)'!A:C,3)</f>
        <v>704.11851264754387</v>
      </c>
      <c r="D57" s="1">
        <v>46112</v>
      </c>
      <c r="E57" s="1">
        <f>+WORKDAY.INTL(D57,-10,1,Feriados!$A$2:$A$1048576)</f>
        <v>46094</v>
      </c>
      <c r="F57">
        <f>+VLOOKUP(A57,[1]CER_implicito!$A:$G,3)</f>
        <v>719.61168020130413</v>
      </c>
      <c r="G57" s="25">
        <f t="shared" si="6"/>
        <v>2.5431519694757876E-2</v>
      </c>
      <c r="H57" s="1">
        <v>46202</v>
      </c>
      <c r="I57" s="1">
        <f>+WORKDAY.INTL(H57,-10,1,Feriados!$A$2:$A$1048576)</f>
        <v>46184</v>
      </c>
      <c r="J57">
        <f>+VLOOKUP(A57,[1]CER_implicito!$A:$G,4)</f>
        <v>763.29822583389546</v>
      </c>
      <c r="K57" s="6">
        <f t="shared" si="0"/>
        <v>2.1090568250058395E-2</v>
      </c>
      <c r="L57" s="1">
        <v>46324</v>
      </c>
      <c r="M57" s="1">
        <f>+WORKDAY.INTL(L57,-10,1,Feriados!$A$2:$A$1048576)</f>
        <v>46310</v>
      </c>
      <c r="N57">
        <f>+VLOOKUP(A57,[1]CER_implicito!$A:$G,6)</f>
        <v>816.74435647488122</v>
      </c>
      <c r="O57" s="6">
        <f t="shared" si="1"/>
        <v>1.8564361929942486E-2</v>
      </c>
      <c r="P57" s="1">
        <v>46171</v>
      </c>
      <c r="Q57" s="1">
        <f>+WORKDAY.INTL(P57,-10,1,Feriados!$A$2:$A$1048576)</f>
        <v>46156</v>
      </c>
      <c r="R57">
        <f>+VLOOKUP(A57,[1]CER_implicito!$A:$G,7)</f>
        <v>748.94898375030141</v>
      </c>
      <c r="S57" s="6">
        <f t="shared" si="5"/>
        <v>2.1265286764231117E-2</v>
      </c>
      <c r="T57" s="1">
        <f t="shared" si="3"/>
        <v>46507</v>
      </c>
      <c r="U57" s="1">
        <f t="shared" si="4"/>
        <v>46493</v>
      </c>
      <c r="V57">
        <f>+VLOOKUP(A57,[1]CER_implicito!$A:$G,5)</f>
        <v>884.5808251435152</v>
      </c>
      <c r="W57" s="6">
        <f t="shared" si="2"/>
        <v>1.6236319820957856E-2</v>
      </c>
      <c r="X57" s="1"/>
      <c r="Y57" s="1"/>
      <c r="AA57" s="6"/>
      <c r="AB57" s="1">
        <f t="shared" si="18"/>
        <v>46233</v>
      </c>
      <c r="AC57" s="1">
        <f>+WORKDAY.INTL(AB57,-10,1,Feriados!$A$2:$A$1048576)</f>
        <v>46219</v>
      </c>
      <c r="AD57">
        <f>+VLOOKUP(A57,[1]CER_implicito!$A:$I,9)</f>
        <v>779.46470590416243</v>
      </c>
      <c r="AE57" s="6">
        <f t="shared" si="19"/>
        <v>2.0402844781486129E-2</v>
      </c>
      <c r="AF57" s="1"/>
      <c r="AG57" s="1"/>
      <c r="AI57" s="6"/>
      <c r="AJ57" s="1">
        <f t="shared" si="20"/>
        <v>46355</v>
      </c>
      <c r="AK57" s="1">
        <f>+WORKDAY.INTL(AJ57,-10,1,Feriados!$A$2:$A$1048576)</f>
        <v>46339</v>
      </c>
      <c r="AL57">
        <f>+VLOOKUP(A57,[1]CER_implicito!$A:$K,11)</f>
        <v>832.12178984469517</v>
      </c>
      <c r="AM57" s="6">
        <f t="shared" si="21"/>
        <v>1.8662651981540934E-2</v>
      </c>
    </row>
    <row r="58" spans="1:39" x14ac:dyDescent="0.4">
      <c r="A58" s="1">
        <f>+[1]CER_implicito!$A475</f>
        <v>46058</v>
      </c>
      <c r="B58" s="1">
        <v>46068</v>
      </c>
      <c r="C58">
        <f>+VLOOKUP(B58,'Sheet1 (2)'!A:C,3)</f>
        <v>704.11851264754387</v>
      </c>
      <c r="D58" s="1">
        <v>46112</v>
      </c>
      <c r="E58" s="1">
        <f t="shared" ref="E58" si="23">+E57</f>
        <v>46094</v>
      </c>
      <c r="F58">
        <f>+VLOOKUP(A58,[1]CER_implicito!$A:$G,3)</f>
        <v>719.8652533765802</v>
      </c>
      <c r="G58" s="25">
        <f t="shared" si="6"/>
        <v>2.584845766233812E-2</v>
      </c>
      <c r="H58" s="1">
        <v>46202</v>
      </c>
      <c r="I58" s="1">
        <f>+WORKDAY.INTL(H58,-10,1,Feriados!$A$2:$A$1048576)</f>
        <v>46184</v>
      </c>
      <c r="J58">
        <f>+VLOOKUP(A58,[1]CER_implicito!$A:$G,4)</f>
        <v>768.27514682186506</v>
      </c>
      <c r="K58" s="6">
        <f t="shared" si="0"/>
        <v>2.2808267108046953E-2</v>
      </c>
      <c r="L58" s="1">
        <v>46324</v>
      </c>
      <c r="M58" s="1">
        <f>+WORKDAY.INTL(L58,-10,1,Feriados!$A$2:$A$1048576)</f>
        <v>46310</v>
      </c>
      <c r="N58">
        <f>+VLOOKUP(A58,[1]CER_implicito!$A:$G,6)</f>
        <v>820.79356959280767</v>
      </c>
      <c r="O58" s="6">
        <f t="shared" si="1"/>
        <v>1.9189013231659668E-2</v>
      </c>
      <c r="P58" s="1">
        <v>46171</v>
      </c>
      <c r="Q58" s="1">
        <f>+WORKDAY.INTL(P58,-10,1,Feriados!$A$2:$A$1048576)</f>
        <v>46156</v>
      </c>
      <c r="R58">
        <f>+VLOOKUP(A58,[1]CER_implicito!$A:$G,7)</f>
        <v>752.38406775580677</v>
      </c>
      <c r="S58" s="6">
        <f t="shared" si="5"/>
        <v>2.2859722504323221E-2</v>
      </c>
      <c r="T58" s="1">
        <f t="shared" si="3"/>
        <v>46507</v>
      </c>
      <c r="U58" s="1">
        <f t="shared" si="4"/>
        <v>46493</v>
      </c>
      <c r="V58">
        <f>+VLOOKUP(A58,[1]CER_implicito!$A:$G,5)</f>
        <v>893.16424198299512</v>
      </c>
      <c r="W58" s="6">
        <f t="shared" si="2"/>
        <v>1.692926544124651E-2</v>
      </c>
      <c r="X58" s="1"/>
      <c r="Y58" s="1"/>
      <c r="AA58" s="6"/>
      <c r="AB58" s="1">
        <f t="shared" si="18"/>
        <v>46233</v>
      </c>
      <c r="AC58" s="1">
        <f>+WORKDAY.INTL(AB58,-10,1,Feriados!$A$2:$A$1048576)</f>
        <v>46219</v>
      </c>
      <c r="AD58">
        <f>+VLOOKUP(A58,[1]CER_implicito!$A:$I,9)</f>
        <v>781.60406319918798</v>
      </c>
      <c r="AE58" s="6">
        <f t="shared" si="19"/>
        <v>2.0958654037795954E-2</v>
      </c>
      <c r="AF58" s="1"/>
      <c r="AG58" s="1"/>
      <c r="AI58" s="6"/>
      <c r="AJ58" s="1">
        <f t="shared" si="20"/>
        <v>46355</v>
      </c>
      <c r="AK58" s="1">
        <f>+WORKDAY.INTL(AJ58,-10,1,Feriados!$A$2:$A$1048576)</f>
        <v>46339</v>
      </c>
      <c r="AL58">
        <f>+VLOOKUP(A58,[1]CER_implicito!$A:$K,11)</f>
        <v>835.93876766072879</v>
      </c>
      <c r="AM58" s="6">
        <f t="shared" si="21"/>
        <v>1.9178867363786933E-2</v>
      </c>
    </row>
    <row r="59" spans="1:39" x14ac:dyDescent="0.4">
      <c r="A59" s="1">
        <f>+[1]CER_implicito!$A476</f>
        <v>46059</v>
      </c>
      <c r="B59" s="1">
        <v>46068</v>
      </c>
      <c r="C59">
        <f>+VLOOKUP(B59,'Sheet1 (2)'!A:C,3)</f>
        <v>704.11851264754387</v>
      </c>
      <c r="D59" s="1">
        <v>46112</v>
      </c>
      <c r="E59" s="1">
        <f>+WORKDAY.INTL(D59,-10,1,Feriados!$A$2:$A$1048576)</f>
        <v>46094</v>
      </c>
      <c r="F59">
        <f>+VLOOKUP(A59,[1]CER_implicito!$A:$G,3)</f>
        <v>720.77371950415511</v>
      </c>
      <c r="G59" s="25">
        <f t="shared" si="6"/>
        <v>2.7342389514768417E-2</v>
      </c>
      <c r="H59" s="1">
        <v>46202</v>
      </c>
      <c r="I59" s="1">
        <f>+WORKDAY.INTL(H59,-10,1,Feriados!$A$2:$A$1048576)</f>
        <v>46184</v>
      </c>
      <c r="J59">
        <f>+VLOOKUP(A59,[1]CER_implicito!$A:$G,4)</f>
        <v>769.58959482884688</v>
      </c>
      <c r="K59" s="6">
        <f t="shared" si="0"/>
        <v>2.32605486589188E-2</v>
      </c>
      <c r="L59" s="1">
        <v>46324</v>
      </c>
      <c r="M59" s="1">
        <f>+WORKDAY.INTL(L59,-10,1,Feriados!$A$2:$A$1048576)</f>
        <v>46310</v>
      </c>
      <c r="N59">
        <f>+VLOOKUP(A59,[1]CER_implicito!$A:$G,6)</f>
        <v>825.3335182380406</v>
      </c>
      <c r="O59" s="6">
        <f t="shared" si="1"/>
        <v>1.9886165732858618E-2</v>
      </c>
      <c r="P59" s="1">
        <v>46171</v>
      </c>
      <c r="Q59" s="1">
        <f>+WORKDAY.INTL(P59,-10,1,Feriados!$A$2:$A$1048576)</f>
        <v>46156</v>
      </c>
      <c r="R59">
        <f>+VLOOKUP(A59,[1]CER_implicito!$A:$G,7)</f>
        <v>753.98864210764293</v>
      </c>
      <c r="S59" s="6">
        <f t="shared" si="5"/>
        <v>2.360286131523881E-2</v>
      </c>
      <c r="T59" s="1">
        <f t="shared" si="3"/>
        <v>46507</v>
      </c>
      <c r="U59" s="1">
        <f t="shared" si="4"/>
        <v>46493</v>
      </c>
      <c r="V59">
        <f>+VLOOKUP(A59,[1]CER_implicito!$A:$G,5)</f>
        <v>893.91992751874398</v>
      </c>
      <c r="W59" s="6">
        <f t="shared" si="2"/>
        <v>1.6989975710244298E-2</v>
      </c>
      <c r="X59" s="1"/>
      <c r="Y59" s="1"/>
      <c r="AA59" s="6"/>
      <c r="AB59" s="1">
        <f t="shared" si="18"/>
        <v>46233</v>
      </c>
      <c r="AC59" s="1">
        <f>+WORKDAY.INTL(AB59,-10,1,Feriados!$A$2:$A$1048576)</f>
        <v>46219</v>
      </c>
      <c r="AD59">
        <f>+VLOOKUP(A59,[1]CER_implicito!$A:$I,9)</f>
        <v>784.9172567867364</v>
      </c>
      <c r="AE59" s="6">
        <f t="shared" si="19"/>
        <v>2.1817027160736524E-2</v>
      </c>
      <c r="AF59" s="1"/>
      <c r="AG59" s="1"/>
      <c r="AI59" s="6"/>
      <c r="AJ59" s="1">
        <f t="shared" si="20"/>
        <v>46355</v>
      </c>
      <c r="AK59" s="1">
        <f>+WORKDAY.INTL(AJ59,-10,1,Feriados!$A$2:$A$1048576)</f>
        <v>46339</v>
      </c>
      <c r="AL59">
        <f>+VLOOKUP(A59,[1]CER_implicito!$A:$K,11)</f>
        <v>834.89449812787893</v>
      </c>
      <c r="AM59" s="6">
        <f t="shared" si="21"/>
        <v>1.9037846986439622E-2</v>
      </c>
    </row>
    <row r="60" spans="1:39" x14ac:dyDescent="0.4">
      <c r="A60" s="1">
        <f>+[1]CER_implicito!$A477</f>
        <v>46062</v>
      </c>
      <c r="B60" s="1">
        <v>46068</v>
      </c>
      <c r="C60">
        <f>+VLOOKUP(B60,'Sheet1 (2)'!A:C,3)</f>
        <v>704.11851264754387</v>
      </c>
      <c r="D60" s="1">
        <v>46112</v>
      </c>
      <c r="E60" s="1">
        <f t="shared" ref="E60" si="24">+E59</f>
        <v>46094</v>
      </c>
      <c r="F60">
        <f>+VLOOKUP(A60,[1]CER_implicito!$A:$G,3)</f>
        <v>720.17020724756105</v>
      </c>
      <c r="G60" s="25">
        <f t="shared" si="6"/>
        <v>2.6349908320811188E-2</v>
      </c>
      <c r="H60" s="1">
        <v>46202</v>
      </c>
      <c r="I60" s="1">
        <f>+WORKDAY.INTL(H60,-10,1,Feriados!$A$2:$A$1048576)</f>
        <v>46184</v>
      </c>
      <c r="J60">
        <f>+VLOOKUP(A60,[1]CER_implicito!$A:$G,4)</f>
        <v>770.18462152793916</v>
      </c>
      <c r="K60" s="6">
        <f t="shared" si="0"/>
        <v>2.3465099998379646E-2</v>
      </c>
      <c r="L60" s="1">
        <v>46324</v>
      </c>
      <c r="M60" s="1">
        <f>+WORKDAY.INTL(L60,-10,1,Feriados!$A$2:$A$1048576)</f>
        <v>46310</v>
      </c>
      <c r="N60">
        <f>+VLOOKUP(A60,[1]CER_implicito!$A:$G,6)</f>
        <v>828.38619997808348</v>
      </c>
      <c r="O60" s="6">
        <f t="shared" si="1"/>
        <v>2.0353047688171699E-2</v>
      </c>
      <c r="P60" s="1">
        <v>46171</v>
      </c>
      <c r="Q60" s="1">
        <f>+WORKDAY.INTL(P60,-10,1,Feriados!$A$2:$A$1048576)</f>
        <v>46156</v>
      </c>
      <c r="R60">
        <f>+VLOOKUP(A60,[1]CER_implicito!$A:$G,7)</f>
        <v>752.70186163973995</v>
      </c>
      <c r="S60" s="6">
        <f t="shared" si="5"/>
        <v>2.3006987715011418E-2</v>
      </c>
      <c r="T60" s="1">
        <f t="shared" si="3"/>
        <v>46507</v>
      </c>
      <c r="U60" s="1">
        <f t="shared" si="4"/>
        <v>46493</v>
      </c>
      <c r="V60">
        <f>+VLOOKUP(A60,[1]CER_implicito!$A:$G,5)</f>
        <v>895.63610932163954</v>
      </c>
      <c r="W60" s="6">
        <f t="shared" si="2"/>
        <v>1.7127673356203355E-2</v>
      </c>
      <c r="X60" s="1"/>
      <c r="Y60" s="1"/>
      <c r="AA60" s="6"/>
      <c r="AB60" s="1">
        <f t="shared" si="18"/>
        <v>46233</v>
      </c>
      <c r="AC60" s="1">
        <f>+WORKDAY.INTL(AB60,-10,1,Feriados!$A$2:$A$1048576)</f>
        <v>46219</v>
      </c>
      <c r="AD60">
        <f>+VLOOKUP(A60,[1]CER_implicito!$A:$I,9)</f>
        <v>786.72673407110676</v>
      </c>
      <c r="AE60" s="6">
        <f t="shared" si="19"/>
        <v>2.2284596402411427E-2</v>
      </c>
      <c r="AF60" s="1"/>
      <c r="AG60" s="1"/>
      <c r="AI60" s="6"/>
      <c r="AJ60" s="1">
        <f t="shared" si="20"/>
        <v>46355</v>
      </c>
      <c r="AK60" s="1">
        <f>+WORKDAY.INTL(AJ60,-10,1,Feriados!$A$2:$A$1048576)</f>
        <v>46339</v>
      </c>
      <c r="AL60">
        <f>+VLOOKUP(A60,[1]CER_implicito!$A:$K,11)</f>
        <v>838.11219574821985</v>
      </c>
      <c r="AM60" s="6">
        <f t="shared" si="21"/>
        <v>1.9471870071326114E-2</v>
      </c>
    </row>
    <row r="61" spans="1:39" x14ac:dyDescent="0.4">
      <c r="A61" s="1">
        <f>+[1]CER_implicito!$A478</f>
        <v>46063</v>
      </c>
      <c r="B61" s="1">
        <v>46068</v>
      </c>
      <c r="C61">
        <f>+VLOOKUP(B61,'Sheet1 (2)'!A:C,3)</f>
        <v>704.11851264754387</v>
      </c>
      <c r="D61" s="1">
        <v>46112</v>
      </c>
      <c r="E61" s="1">
        <f>+WORKDAY.INTL(D61,-10,1,Feriados!$A$2:$A$1048576)</f>
        <v>46094</v>
      </c>
      <c r="F61">
        <f>+VLOOKUP(A61,[1]CER_implicito!$A:$G,3)</f>
        <v>722.52197154857583</v>
      </c>
      <c r="G61" s="25">
        <f t="shared" si="6"/>
        <v>3.0218126635739972E-2</v>
      </c>
      <c r="H61" s="1">
        <v>46202</v>
      </c>
      <c r="I61" s="1">
        <f>+WORKDAY.INTL(H61,-10,1,Feriados!$A$2:$A$1048576)</f>
        <v>46184</v>
      </c>
      <c r="J61">
        <f>+VLOOKUP(A61,[1]CER_implicito!$A:$G,4)</f>
        <v>771.18907932849663</v>
      </c>
      <c r="K61" s="6">
        <f t="shared" si="0"/>
        <v>2.3810135121743459E-2</v>
      </c>
      <c r="L61" s="1">
        <v>46324</v>
      </c>
      <c r="M61" s="1">
        <f>+WORKDAY.INTL(L61,-10,1,Feriados!$A$2:$A$1048576)</f>
        <v>46310</v>
      </c>
      <c r="N61">
        <f>+VLOOKUP(A61,[1]CER_implicito!$A:$G,6)</f>
        <v>829.64349534763778</v>
      </c>
      <c r="O61" s="6">
        <f t="shared" si="1"/>
        <v>2.0544902312576552E-2</v>
      </c>
      <c r="P61" s="1">
        <v>46171</v>
      </c>
      <c r="Q61" s="1">
        <f>+WORKDAY.INTL(P61,-10,1,Feriados!$A$2:$A$1048576)</f>
        <v>46156</v>
      </c>
      <c r="R61">
        <f>+VLOOKUP(A61,[1]CER_implicito!$A:$G,7)</f>
        <v>755.23705523359968</v>
      </c>
      <c r="S61" s="6">
        <f t="shared" si="5"/>
        <v>2.4180327793327239E-2</v>
      </c>
      <c r="T61" s="1">
        <f t="shared" si="3"/>
        <v>46507</v>
      </c>
      <c r="U61" s="1">
        <f t="shared" si="4"/>
        <v>46493</v>
      </c>
      <c r="V61">
        <f>+VLOOKUP(A61,[1]CER_implicito!$A:$G,5)</f>
        <v>894.0816396689878</v>
      </c>
      <c r="W61" s="6">
        <f t="shared" si="2"/>
        <v>1.7002961145853979E-2</v>
      </c>
      <c r="X61" s="1"/>
      <c r="Y61" s="1"/>
      <c r="AA61" s="6"/>
      <c r="AB61" s="1">
        <f t="shared" si="18"/>
        <v>46233</v>
      </c>
      <c r="AC61" s="1">
        <f>+WORKDAY.INTL(AB61,-10,1,Feriados!$A$2:$A$1048576)</f>
        <v>46219</v>
      </c>
      <c r="AD61">
        <f>+VLOOKUP(A61,[1]CER_implicito!$A:$I,9)</f>
        <v>787.05740709358327</v>
      </c>
      <c r="AE61" s="6">
        <f t="shared" si="19"/>
        <v>2.2369949218834062E-2</v>
      </c>
      <c r="AF61" s="1"/>
      <c r="AG61" s="1"/>
      <c r="AI61" s="6"/>
      <c r="AJ61" s="1">
        <f t="shared" si="20"/>
        <v>46355</v>
      </c>
      <c r="AK61" s="1">
        <f>+WORKDAY.INTL(AJ61,-10,1,Feriados!$A$2:$A$1048576)</f>
        <v>46339</v>
      </c>
      <c r="AL61">
        <f>+VLOOKUP(A61,[1]CER_implicito!$A:$K,11)</f>
        <v>843.99296816063395</v>
      </c>
      <c r="AM61" s="6">
        <f t="shared" si="21"/>
        <v>2.0261290382556973E-2</v>
      </c>
    </row>
    <row r="62" spans="1:39" x14ac:dyDescent="0.4">
      <c r="A62" s="1">
        <f>+[1]CER_implicito!$A479</f>
        <v>46064</v>
      </c>
      <c r="B62" s="1">
        <v>46068</v>
      </c>
      <c r="C62">
        <f>+VLOOKUP(B62,'Sheet1 (2)'!A:C,3)</f>
        <v>704.11851264754387</v>
      </c>
      <c r="D62" s="1">
        <v>46112</v>
      </c>
      <c r="E62" s="1">
        <f t="shared" ref="E62" si="25">+E61</f>
        <v>46094</v>
      </c>
      <c r="F62">
        <f>+VLOOKUP(A62,[1]CER_implicito!$A:$G,3)</f>
        <v>722.57003427198322</v>
      </c>
      <c r="G62" s="25">
        <f t="shared" si="6"/>
        <v>3.0297201168337784E-2</v>
      </c>
      <c r="H62" s="1">
        <v>46202</v>
      </c>
      <c r="I62" s="1">
        <f>+WORKDAY.INTL(H62,-10,1,Feriados!$A$2:$A$1048576)</f>
        <v>46184</v>
      </c>
      <c r="J62">
        <f>+VLOOKUP(A62,[1]CER_implicito!$A:$G,4)</f>
        <v>771.88950613221425</v>
      </c>
      <c r="K62" s="6">
        <f t="shared" si="0"/>
        <v>2.4050537307530595E-2</v>
      </c>
      <c r="L62" s="1">
        <v>46324</v>
      </c>
      <c r="M62" s="1">
        <f>+WORKDAY.INTL(L62,-10,1,Feriados!$A$2:$A$1048576)</f>
        <v>46310</v>
      </c>
      <c r="N62">
        <f>+VLOOKUP(A62,[1]CER_implicito!$A:$G,6)</f>
        <v>824.36647588537107</v>
      </c>
      <c r="O62" s="6">
        <f t="shared" si="1"/>
        <v>1.9737949217747852E-2</v>
      </c>
      <c r="P62" s="1">
        <v>46171</v>
      </c>
      <c r="Q62" s="1">
        <f>+WORKDAY.INTL(P62,-10,1,Feriados!$A$2:$A$1048576)</f>
        <v>46156</v>
      </c>
      <c r="R62">
        <f>+VLOOKUP(A62,[1]CER_implicito!$A:$G,7)</f>
        <v>754.98494298233561</v>
      </c>
      <c r="S62" s="6">
        <f t="shared" si="5"/>
        <v>2.4063761374320203E-2</v>
      </c>
      <c r="T62" s="1">
        <f t="shared" si="3"/>
        <v>46507</v>
      </c>
      <c r="U62" s="1">
        <f t="shared" si="4"/>
        <v>46493</v>
      </c>
      <c r="V62">
        <f>+VLOOKUP(A62,[1]CER_implicito!$A:$G,5)</f>
        <v>894.38632865877469</v>
      </c>
      <c r="W62" s="6">
        <f t="shared" si="2"/>
        <v>1.7027421647486163E-2</v>
      </c>
      <c r="X62" s="1"/>
      <c r="Y62" s="1"/>
      <c r="AA62" s="6"/>
      <c r="AB62" s="1">
        <f t="shared" si="18"/>
        <v>46233</v>
      </c>
      <c r="AC62" s="1">
        <f>+WORKDAY.INTL(AB62,-10,1,Feriados!$A$2:$A$1048576)</f>
        <v>46219</v>
      </c>
      <c r="AD62">
        <f>+VLOOKUP(A62,[1]CER_implicito!$A:$I,9)</f>
        <v>786.66410720292447</v>
      </c>
      <c r="AE62" s="6">
        <f t="shared" si="19"/>
        <v>2.2268428012932828E-2</v>
      </c>
      <c r="AF62" s="1"/>
      <c r="AG62" s="1"/>
      <c r="AI62" s="6"/>
      <c r="AJ62" s="1">
        <f t="shared" si="20"/>
        <v>46355</v>
      </c>
      <c r="AK62" s="1">
        <f>+WORKDAY.INTL(AJ62,-10,1,Feriados!$A$2:$A$1048576)</f>
        <v>46339</v>
      </c>
      <c r="AL62">
        <f>+VLOOKUP(A62,[1]CER_implicito!$A:$K,11)</f>
        <v>841.79300501997761</v>
      </c>
      <c r="AM62" s="6">
        <f t="shared" si="21"/>
        <v>1.9966547148242197E-2</v>
      </c>
    </row>
    <row r="63" spans="1:39" x14ac:dyDescent="0.4">
      <c r="A63" s="1">
        <f>+[1]CER_implicito!$A480</f>
        <v>46065</v>
      </c>
      <c r="B63" s="1">
        <v>46096</v>
      </c>
      <c r="C63">
        <f>+VLOOKUP(B63,'Sheet1 (2)'!A:C,3)</f>
        <v>724.53794951432371</v>
      </c>
      <c r="D63" s="1">
        <v>46112</v>
      </c>
      <c r="E63" s="1">
        <f>+WORKDAY.INTL(D63,-10,1,Feriados!$A$2:$A$1048576)</f>
        <v>46094</v>
      </c>
      <c r="F63">
        <f>+VLOOKUP(A63,[1]CER_implicito!$A:$G,3)</f>
        <v>723.00779717042622</v>
      </c>
      <c r="G63" s="25">
        <f t="shared" si="6"/>
        <v>3.2220194985563611E-2</v>
      </c>
      <c r="H63" s="1">
        <v>46202</v>
      </c>
      <c r="I63" s="1">
        <f>+WORKDAY.INTL(H63,-10,1,Feriados!$A$2:$A$1048576)</f>
        <v>46184</v>
      </c>
      <c r="J63">
        <f>+VLOOKUP(A63,[1]CER_implicito!$A:$G,4)</f>
        <v>770.59882062865711</v>
      </c>
      <c r="K63" s="6">
        <f t="shared" si="0"/>
        <v>2.1233805412118167E-2</v>
      </c>
      <c r="L63" s="1">
        <v>46324</v>
      </c>
      <c r="M63" s="1">
        <f>+WORKDAY.INTL(L63,-10,1,Feriados!$A$2:$A$1048576)</f>
        <v>46310</v>
      </c>
      <c r="N63">
        <f>+VLOOKUP(A63,[1]CER_implicito!$A:$G,6)</f>
        <v>826.18783297713844</v>
      </c>
      <c r="O63" s="6">
        <f t="shared" si="1"/>
        <v>1.8575274216738658E-2</v>
      </c>
      <c r="P63" s="1">
        <v>46171</v>
      </c>
      <c r="Q63" s="1">
        <f>+WORKDAY.INTL(P63,-10,1,Feriados!$A$2:$A$1048576)</f>
        <v>46156</v>
      </c>
      <c r="R63">
        <f>+VLOOKUP(A63,[1]CER_implicito!$A:$G,7)</f>
        <v>757.14613625649781</v>
      </c>
      <c r="S63" s="6">
        <f t="shared" si="5"/>
        <v>2.2255101134347255E-2</v>
      </c>
      <c r="T63" s="1">
        <f t="shared" si="3"/>
        <v>46507</v>
      </c>
      <c r="U63" s="1">
        <f t="shared" si="4"/>
        <v>46493</v>
      </c>
      <c r="V63">
        <f>+VLOOKUP(A63,[1]CER_implicito!$A:$G,5)</f>
        <v>893.72178219958073</v>
      </c>
      <c r="W63" s="6">
        <f t="shared" si="2"/>
        <v>1.5984879880726721E-2</v>
      </c>
      <c r="X63" s="1"/>
      <c r="Y63" s="1"/>
      <c r="AA63" s="6"/>
      <c r="AB63" s="1">
        <f t="shared" si="18"/>
        <v>46233</v>
      </c>
      <c r="AC63" s="1">
        <f>+WORKDAY.INTL(AB63,-10,1,Feriados!$A$2:$A$1048576)</f>
        <v>46219</v>
      </c>
      <c r="AD63">
        <f>+VLOOKUP(A63,[1]CER_implicito!$A:$I,9)</f>
        <v>784.87853162351996</v>
      </c>
      <c r="AE63" s="6">
        <f t="shared" si="19"/>
        <v>1.9702515966658174E-2</v>
      </c>
      <c r="AF63" s="1"/>
      <c r="AG63" s="1"/>
      <c r="AI63" s="6"/>
      <c r="AJ63" s="1">
        <f t="shared" si="20"/>
        <v>46355</v>
      </c>
      <c r="AK63" s="1">
        <f>+WORKDAY.INTL(AJ63,-10,1,Feriados!$A$2:$A$1048576)</f>
        <v>46339</v>
      </c>
      <c r="AL63">
        <f>+VLOOKUP(A63,[1]CER_implicito!$A:$K,11)</f>
        <v>839.87291784328875</v>
      </c>
      <c r="AM63" s="6">
        <f t="shared" si="21"/>
        <v>1.8403901174095294E-2</v>
      </c>
    </row>
    <row r="64" spans="1:39" x14ac:dyDescent="0.4">
      <c r="A64" s="1">
        <f>+[1]CER_implicito!$A481</f>
        <v>46066</v>
      </c>
      <c r="B64" s="1">
        <v>46096</v>
      </c>
      <c r="C64">
        <f>+VLOOKUP(B64,'Sheet1 (2)'!A:C,3)</f>
        <v>724.53794951432371</v>
      </c>
      <c r="D64" s="1">
        <v>46112</v>
      </c>
      <c r="E64" s="1">
        <f t="shared" ref="E64" si="26">+E63</f>
        <v>46094</v>
      </c>
      <c r="F64">
        <f>+VLOOKUP(A64,[1]CER_implicito!$A:$G,3)</f>
        <v>725.53376377549375</v>
      </c>
      <c r="G64" s="25">
        <f t="shared" si="6"/>
        <v>-2.0391265935631675E-2</v>
      </c>
      <c r="H64" s="1">
        <v>46202</v>
      </c>
      <c r="I64" s="1">
        <f>+WORKDAY.INTL(H64,-10,1,Feriados!$A$2:$A$1048576)</f>
        <v>46184</v>
      </c>
      <c r="J64">
        <f>+VLOOKUP(A64,[1]CER_implicito!$A:$G,4)</f>
        <v>771.75180744286729</v>
      </c>
      <c r="K64" s="6">
        <f t="shared" si="0"/>
        <v>2.1754455266396633E-2</v>
      </c>
      <c r="L64" s="1">
        <v>46324</v>
      </c>
      <c r="M64" s="1">
        <f>+WORKDAY.INTL(L64,-10,1,Feriados!$A$2:$A$1048576)</f>
        <v>46310</v>
      </c>
      <c r="N64">
        <f>+VLOOKUP(A64,[1]CER_implicito!$A:$G,6)</f>
        <v>822.34360872472473</v>
      </c>
      <c r="O64" s="6">
        <f t="shared" si="1"/>
        <v>1.7909539954482856E-2</v>
      </c>
      <c r="P64" s="1">
        <v>46171</v>
      </c>
      <c r="Q64" s="1">
        <f>+WORKDAY.INTL(P64,-10,1,Feriados!$A$2:$A$1048576)</f>
        <v>46156</v>
      </c>
      <c r="R64">
        <f>+VLOOKUP(A64,[1]CER_implicito!$A:$G,7)</f>
        <v>759.14914135766696</v>
      </c>
      <c r="S64" s="6">
        <f t="shared" si="5"/>
        <v>2.3606379091015262E-2</v>
      </c>
      <c r="T64" s="1">
        <f t="shared" si="3"/>
        <v>46507</v>
      </c>
      <c r="U64" s="1">
        <f t="shared" si="4"/>
        <v>46493</v>
      </c>
      <c r="V64">
        <f>+VLOOKUP(A64,[1]CER_implicito!$A:$G,5)</f>
        <v>898.94595972869899</v>
      </c>
      <c r="W64" s="6">
        <f t="shared" si="2"/>
        <v>1.6432451956929661E-2</v>
      </c>
      <c r="X64" s="1"/>
      <c r="Y64" s="1"/>
      <c r="AA64" s="6"/>
      <c r="AB64" s="1">
        <f t="shared" si="18"/>
        <v>46233</v>
      </c>
      <c r="AC64" s="1">
        <f>+WORKDAY.INTL(AB64,-10,1,Feriados!$A$2:$A$1048576)</f>
        <v>46219</v>
      </c>
      <c r="AD64">
        <f>+VLOOKUP(A64,[1]CER_implicito!$A:$I,9)</f>
        <v>788.09325380538883</v>
      </c>
      <c r="AE64" s="6">
        <f t="shared" si="19"/>
        <v>2.0719605650904027E-2</v>
      </c>
      <c r="AF64" s="1"/>
      <c r="AG64" s="1"/>
      <c r="AI64" s="6"/>
      <c r="AJ64" s="1">
        <f t="shared" si="20"/>
        <v>46355</v>
      </c>
      <c r="AK64" s="1">
        <f>+WORKDAY.INTL(AJ64,-10,1,Feriados!$A$2:$A$1048576)</f>
        <v>46339</v>
      </c>
      <c r="AL64">
        <f>+VLOOKUP(A64,[1]CER_implicito!$A:$K,11)</f>
        <v>833.61817316934912</v>
      </c>
      <c r="AM64" s="6">
        <f t="shared" si="21"/>
        <v>1.7464496201437196E-2</v>
      </c>
    </row>
    <row r="65" spans="1:39" x14ac:dyDescent="0.4">
      <c r="A65" s="1">
        <f>+[1]CER_implicito!$A482</f>
        <v>46071</v>
      </c>
      <c r="B65" s="1">
        <v>46096</v>
      </c>
      <c r="C65">
        <f>+VLOOKUP(B65,'Sheet1 (2)'!A:C,3)</f>
        <v>724.53794951432371</v>
      </c>
      <c r="D65" s="1">
        <v>46112</v>
      </c>
      <c r="E65" s="1">
        <f>+WORKDAY.INTL(D65,-10,1,Feriados!$A$2:$A$1048576)</f>
        <v>46094</v>
      </c>
      <c r="F65">
        <f>+VLOOKUP(A65,[1]CER_implicito!$A:$G,3)</f>
        <v>723.1204923265675</v>
      </c>
      <c r="G65" s="25">
        <f t="shared" si="6"/>
        <v>2.9809820772120021E-2</v>
      </c>
      <c r="H65" s="1">
        <v>46202</v>
      </c>
      <c r="I65" s="1">
        <f>+WORKDAY.INTL(H65,-10,1,Feriados!$A$2:$A$1048576)</f>
        <v>46184</v>
      </c>
      <c r="J65">
        <f>+VLOOKUP(A65,[1]CER_implicito!$A:$G,4)</f>
        <v>769.9850461481235</v>
      </c>
      <c r="K65" s="6">
        <f t="shared" si="0"/>
        <v>2.0956436181811533E-2</v>
      </c>
      <c r="L65" s="1">
        <v>46324</v>
      </c>
      <c r="M65" s="1">
        <f>+WORKDAY.INTL(L65,-10,1,Feriados!$A$2:$A$1048576)</f>
        <v>46310</v>
      </c>
      <c r="N65">
        <f>+VLOOKUP(A65,[1]CER_implicito!$A:$G,6)</f>
        <v>821.9469787999119</v>
      </c>
      <c r="O65" s="6">
        <f t="shared" si="1"/>
        <v>1.7840700266817056E-2</v>
      </c>
      <c r="P65" s="1">
        <v>46171</v>
      </c>
      <c r="Q65" s="1">
        <f>+WORKDAY.INTL(P65,-10,1,Feriados!$A$2:$A$1048576)</f>
        <v>46156</v>
      </c>
      <c r="R65">
        <f>+VLOOKUP(A65,[1]CER_implicito!$A:$G,7)</f>
        <v>758.48042647926286</v>
      </c>
      <c r="S65" s="6">
        <f t="shared" si="5"/>
        <v>2.3155445549613241E-2</v>
      </c>
      <c r="T65" s="1">
        <f t="shared" si="3"/>
        <v>46507</v>
      </c>
      <c r="U65" s="1">
        <f t="shared" si="4"/>
        <v>46493</v>
      </c>
      <c r="V65">
        <f>+VLOOKUP(A65,[1]CER_implicito!$A:$G,5)</f>
        <v>897.98665315250298</v>
      </c>
      <c r="W65" s="6">
        <f t="shared" si="2"/>
        <v>1.6350445619100151E-2</v>
      </c>
      <c r="X65" s="1"/>
      <c r="Y65" s="1"/>
      <c r="AA65" s="6"/>
      <c r="AB65" s="1">
        <f t="shared" si="18"/>
        <v>46233</v>
      </c>
      <c r="AC65" s="1">
        <f>+WORKDAY.INTL(AB65,-10,1,Feriados!$A$2:$A$1048576)</f>
        <v>46219</v>
      </c>
      <c r="AD65">
        <f>+VLOOKUP(A65,[1]CER_implicito!$A:$I,9)</f>
        <v>789.66754423851421</v>
      </c>
      <c r="AE65" s="6">
        <f t="shared" si="19"/>
        <v>2.1216543563831625E-2</v>
      </c>
      <c r="AF65" s="1"/>
      <c r="AG65" s="1"/>
      <c r="AI65" s="6"/>
      <c r="AJ65" s="1">
        <f t="shared" si="20"/>
        <v>46355</v>
      </c>
      <c r="AK65" s="1">
        <f>+WORKDAY.INTL(AJ65,-10,1,Feriados!$A$2:$A$1048576)</f>
        <v>46339</v>
      </c>
      <c r="AL65">
        <f>+VLOOKUP(A65,[1]CER_implicito!$A:$K,11)</f>
        <v>833.79111062496759</v>
      </c>
      <c r="AM65" s="6">
        <f t="shared" si="21"/>
        <v>1.7490552735842435E-2</v>
      </c>
    </row>
    <row r="66" spans="1:39" x14ac:dyDescent="0.4">
      <c r="A66" s="1">
        <f>+[1]CER_implicito!$A483</f>
        <v>46072</v>
      </c>
      <c r="B66" s="1">
        <v>46096</v>
      </c>
      <c r="C66">
        <f>+VLOOKUP(B66,'Sheet1 (2)'!A:C,3)</f>
        <v>724.53794951432371</v>
      </c>
      <c r="D66" s="1">
        <v>46112</v>
      </c>
      <c r="E66" s="1">
        <f t="shared" ref="E66:E69" si="27">+E65</f>
        <v>46094</v>
      </c>
      <c r="F66">
        <f>+VLOOKUP(A66,[1]CER_implicito!$A:$G,3)</f>
        <v>722.70252905458574</v>
      </c>
      <c r="G66" s="25">
        <f t="shared" si="6"/>
        <v>3.8779684618449162E-2</v>
      </c>
      <c r="H66" s="1">
        <f>+H65</f>
        <v>46202</v>
      </c>
      <c r="I66" s="1">
        <f>+WORKDAY.INTL(H66,-10,1,Feriados!$A$2:$A$1048576)</f>
        <v>46184</v>
      </c>
      <c r="J66">
        <f>+VLOOKUP(A66,[1]CER_implicito!$A:$G,4)</f>
        <v>773.20306581115074</v>
      </c>
      <c r="K66" s="6">
        <f t="shared" si="0"/>
        <v>2.2409066219590379E-2</v>
      </c>
      <c r="L66" s="1">
        <f>+L65</f>
        <v>46324</v>
      </c>
      <c r="M66" s="1">
        <f>+WORKDAY.INTL(L66,-10,1,Feriados!$A$2:$A$1048576)</f>
        <v>46310</v>
      </c>
      <c r="N66">
        <f>+VLOOKUP(A66,[1]CER_implicito!$A:$G,6)</f>
        <v>820.76736854885201</v>
      </c>
      <c r="O66" s="6">
        <f t="shared" si="1"/>
        <v>1.763579640938584E-2</v>
      </c>
      <c r="P66" s="1">
        <f>+P65</f>
        <v>46171</v>
      </c>
      <c r="Q66" s="1">
        <f>+WORKDAY.INTL(P66,-10,1,Feriados!$A$2:$A$1048576)</f>
        <v>46156</v>
      </c>
      <c r="R66">
        <f>+VLOOKUP(A66,[1]CER_implicito!$A:$G,7)</f>
        <v>758.48048407976296</v>
      </c>
      <c r="S66" s="6">
        <f t="shared" si="5"/>
        <v>2.3155484399834059E-2</v>
      </c>
      <c r="T66" s="1">
        <f t="shared" si="3"/>
        <v>46507</v>
      </c>
      <c r="U66" s="1">
        <f t="shared" si="4"/>
        <v>46493</v>
      </c>
      <c r="V66">
        <f>+VLOOKUP(A66,[1]CER_implicito!$A:$G,5)</f>
        <v>900.09989075416149</v>
      </c>
      <c r="W66" s="6">
        <f t="shared" si="2"/>
        <v>1.6530988652519563E-2</v>
      </c>
      <c r="X66" s="1"/>
      <c r="Y66" s="1"/>
      <c r="AA66" s="6"/>
      <c r="AB66" s="1">
        <f t="shared" si="18"/>
        <v>46233</v>
      </c>
      <c r="AC66" s="1">
        <f>+WORKDAY.INTL(AB66,-10,1,Feriados!$A$2:$A$1048576)</f>
        <v>46219</v>
      </c>
      <c r="AD66">
        <f>+VLOOKUP(A66,[1]CER_implicito!$A:$I,9)</f>
        <v>789.27156210149178</v>
      </c>
      <c r="AE66" s="6">
        <f t="shared" si="19"/>
        <v>2.1091619058387856E-2</v>
      </c>
      <c r="AF66" s="1"/>
      <c r="AG66" s="1"/>
      <c r="AI66" s="6"/>
      <c r="AJ66" s="1">
        <f t="shared" si="20"/>
        <v>46355</v>
      </c>
      <c r="AK66" s="1">
        <f>+WORKDAY.INTL(AJ66,-10,1,Feriados!$A$2:$A$1048576)</f>
        <v>46339</v>
      </c>
      <c r="AL66">
        <f>+VLOOKUP(A66,[1]CER_implicito!$A:$K,11)</f>
        <v>839.60613856414898</v>
      </c>
      <c r="AM66" s="6">
        <f t="shared" si="21"/>
        <v>1.8363958786633772E-2</v>
      </c>
    </row>
    <row r="67" spans="1:39" x14ac:dyDescent="0.4">
      <c r="A67" s="1">
        <f>+[1]CER_implicito!$A484</f>
        <v>46073</v>
      </c>
      <c r="B67" s="1">
        <v>46096</v>
      </c>
      <c r="C67">
        <f>+VLOOKUP(B67,'Sheet1 (2)'!A:C,3)</f>
        <v>724.53794951432371</v>
      </c>
      <c r="D67" s="1">
        <f t="shared" ref="D67:E75" si="28">+D66</f>
        <v>46112</v>
      </c>
      <c r="E67" s="1">
        <f t="shared" si="27"/>
        <v>46094</v>
      </c>
      <c r="F67">
        <f>+VLOOKUP(A67,[1]CER_implicito!$A:$G,3)</f>
        <v>724.03145390760369</v>
      </c>
      <c r="G67" s="25">
        <f t="shared" si="6"/>
        <v>1.0544777475848255E-2</v>
      </c>
      <c r="H67" s="1">
        <f t="shared" ref="H67:H69" si="29">+H66</f>
        <v>46202</v>
      </c>
      <c r="I67" s="1">
        <f>+WORKDAY.INTL(H67,-10,1,Feriados!$A$2:$A$1048576)</f>
        <v>46184</v>
      </c>
      <c r="J67">
        <f>+VLOOKUP(A67,[1]CER_implicito!$A:$G,4)</f>
        <v>772.78687741747126</v>
      </c>
      <c r="K67" s="6">
        <f t="shared" ref="K67:K83" si="30">+(J67/C67)^(30/(I67-B67))-1</f>
        <v>2.2221421337206948E-2</v>
      </c>
      <c r="L67" s="1">
        <f t="shared" ref="L67:L69" si="31">+L66</f>
        <v>46324</v>
      </c>
      <c r="M67" s="1">
        <f>+WORKDAY.INTL(L67,-10,1,Feriados!$A$2:$A$1048576)</f>
        <v>46310</v>
      </c>
      <c r="N67">
        <f>+VLOOKUP(A67,[1]CER_implicito!$A:$G,6)</f>
        <v>816.87259525497359</v>
      </c>
      <c r="O67" s="6">
        <f t="shared" ref="O67:O83" si="32">+(N67/C67)^(30/(M67-B67))-1</f>
        <v>1.6957452954896812E-2</v>
      </c>
      <c r="P67" s="1">
        <f t="shared" ref="P67:P69" si="33">+P66</f>
        <v>46171</v>
      </c>
      <c r="Q67" s="1">
        <f>+WORKDAY.INTL(P67,-10,1,Feriados!$A$2:$A$1048576)</f>
        <v>46156</v>
      </c>
      <c r="R67">
        <f>+VLOOKUP(A67,[1]CER_implicito!$A:$G,7)</f>
        <v>759.41505658868698</v>
      </c>
      <c r="S67" s="6">
        <f t="shared" si="5"/>
        <v>2.3785638132601372E-2</v>
      </c>
      <c r="T67" s="1">
        <f t="shared" si="3"/>
        <v>46507</v>
      </c>
      <c r="U67" s="1">
        <f t="shared" si="4"/>
        <v>46493</v>
      </c>
      <c r="V67">
        <f>+VLOOKUP(A67,[1]CER_implicito!$A:$G,5)</f>
        <v>899.98297867730639</v>
      </c>
      <c r="W67" s="6">
        <f t="shared" ref="W67:W83" si="34">+(V67/C67)^(30/(U67-B67))-1</f>
        <v>1.6521010592503327E-2</v>
      </c>
      <c r="X67" s="1"/>
      <c r="Y67" s="1"/>
      <c r="AA67" s="6"/>
      <c r="AB67" s="1">
        <f t="shared" si="18"/>
        <v>46233</v>
      </c>
      <c r="AC67" s="1">
        <f>+WORKDAY.INTL(AB67,-10,1,Feriados!$A$2:$A$1048576)</f>
        <v>46219</v>
      </c>
      <c r="AD67">
        <f>+VLOOKUP(A67,[1]CER_implicito!$A:$I,9)</f>
        <v>791.0247038225242</v>
      </c>
      <c r="AE67" s="6">
        <f t="shared" si="19"/>
        <v>2.1644341446879212E-2</v>
      </c>
      <c r="AF67" s="1"/>
      <c r="AG67" s="1"/>
      <c r="AI67" s="6"/>
      <c r="AJ67" s="1">
        <f t="shared" si="20"/>
        <v>46355</v>
      </c>
      <c r="AK67" s="1">
        <f>+WORKDAY.INTL(AJ67,-10,1,Feriados!$A$2:$A$1048576)</f>
        <v>46339</v>
      </c>
      <c r="AL67">
        <f>+VLOOKUP(A67,[1]CER_implicito!$A:$K,11)</f>
        <v>840.4235625197997</v>
      </c>
      <c r="AM67" s="6">
        <f t="shared" si="21"/>
        <v>1.8486308940767193E-2</v>
      </c>
    </row>
    <row r="68" spans="1:39" x14ac:dyDescent="0.4">
      <c r="A68" s="1">
        <f>+[1]CER_implicito!$A485</f>
        <v>46076</v>
      </c>
      <c r="B68" s="1">
        <v>46096</v>
      </c>
      <c r="C68">
        <f>+VLOOKUP(B68,'Sheet1 (2)'!A:C,3)</f>
        <v>724.53794951432371</v>
      </c>
      <c r="D68" s="1">
        <f t="shared" si="28"/>
        <v>46112</v>
      </c>
      <c r="E68" s="1">
        <f t="shared" si="27"/>
        <v>46094</v>
      </c>
      <c r="F68">
        <f>+VLOOKUP(A68,[1]CER_implicito!$A:$G,3)</f>
        <v>722.46838479813994</v>
      </c>
      <c r="G68" s="25">
        <f t="shared" si="6"/>
        <v>4.3841017315648489E-2</v>
      </c>
      <c r="H68" s="1">
        <f t="shared" si="29"/>
        <v>46202</v>
      </c>
      <c r="I68" s="1">
        <f>+WORKDAY.INTL(H68,-10,1,Feriados!$A$2:$A$1048576)</f>
        <v>46184</v>
      </c>
      <c r="J68">
        <f>+VLOOKUP(A68,[1]CER_implicito!$A:$G,4)</f>
        <v>771.40693629108637</v>
      </c>
      <c r="K68" s="6">
        <f t="shared" si="30"/>
        <v>2.1598776887132631E-2</v>
      </c>
      <c r="L68" s="1">
        <f t="shared" si="31"/>
        <v>46324</v>
      </c>
      <c r="M68" s="1">
        <f>+WORKDAY.INTL(L68,-10,1,Feriados!$A$2:$A$1048576)</f>
        <v>46310</v>
      </c>
      <c r="N68">
        <f>+VLOOKUP(A68,[1]CER_implicito!$A:$G,6)</f>
        <v>818.82340412123517</v>
      </c>
      <c r="O68" s="6">
        <f t="shared" si="32"/>
        <v>1.7297567503088196E-2</v>
      </c>
      <c r="P68" s="1">
        <f t="shared" si="33"/>
        <v>46171</v>
      </c>
      <c r="Q68" s="1">
        <f>+WORKDAY.INTL(P68,-10,1,Feriados!$A$2:$A$1048576)</f>
        <v>46156</v>
      </c>
      <c r="R68">
        <f>+VLOOKUP(A68,[1]CER_implicito!$A:$G,7)</f>
        <v>758.10442424182258</v>
      </c>
      <c r="S68" s="6">
        <f t="shared" si="5"/>
        <v>2.2901809191195888E-2</v>
      </c>
      <c r="T68" s="1">
        <f t="shared" ref="T68:U69" si="35">+T67</f>
        <v>46507</v>
      </c>
      <c r="U68" s="1">
        <f t="shared" si="35"/>
        <v>46493</v>
      </c>
      <c r="V68">
        <f>+VLOOKUP(A68,[1]CER_implicito!$A:$G,5)</f>
        <v>896.84859278409169</v>
      </c>
      <c r="W68" s="6">
        <f t="shared" si="34"/>
        <v>1.6253053417107699E-2</v>
      </c>
      <c r="X68" s="1"/>
      <c r="Y68" s="1"/>
      <c r="AA68" s="6"/>
      <c r="AB68" s="1">
        <f t="shared" si="18"/>
        <v>46233</v>
      </c>
      <c r="AC68" s="1">
        <f>+WORKDAY.INTL(AB68,-10,1,Feriados!$A$2:$A$1048576)</f>
        <v>46219</v>
      </c>
      <c r="AD68">
        <f>+VLOOKUP(A68,[1]CER_implicito!$A:$I,9)</f>
        <v>790.12453374168877</v>
      </c>
      <c r="AE68" s="6">
        <f t="shared" si="19"/>
        <v>2.1360655823308372E-2</v>
      </c>
      <c r="AF68" s="1"/>
      <c r="AG68" s="1"/>
      <c r="AI68" s="6"/>
      <c r="AJ68" s="1">
        <f t="shared" si="20"/>
        <v>46355</v>
      </c>
      <c r="AK68" s="1">
        <f>+WORKDAY.INTL(AJ68,-10,1,Feriados!$A$2:$A$1048576)</f>
        <v>46339</v>
      </c>
      <c r="AL68">
        <f>+VLOOKUP(A68,[1]CER_implicito!$A:$K,11)</f>
        <v>840.12873573864772</v>
      </c>
      <c r="AM68" s="6">
        <f t="shared" si="21"/>
        <v>1.8442191971553834E-2</v>
      </c>
    </row>
    <row r="69" spans="1:39" x14ac:dyDescent="0.4">
      <c r="A69" s="1">
        <f>+[1]CER_implicito!$A486</f>
        <v>46077</v>
      </c>
      <c r="B69" s="1">
        <v>46096</v>
      </c>
      <c r="C69">
        <f>+VLOOKUP(B69,'Sheet1 (2)'!A:C,3)</f>
        <v>724.53794951432371</v>
      </c>
      <c r="D69" s="1">
        <f t="shared" si="28"/>
        <v>46112</v>
      </c>
      <c r="E69" s="1">
        <f t="shared" si="27"/>
        <v>46094</v>
      </c>
      <c r="F69">
        <f>+VLOOKUP(A69,[1]CER_implicito!$A:$G,3)</f>
        <v>722.47795210381037</v>
      </c>
      <c r="G69" s="25">
        <f t="shared" si="6"/>
        <v>4.3633692918296774E-2</v>
      </c>
      <c r="H69" s="1">
        <f t="shared" si="29"/>
        <v>46202</v>
      </c>
      <c r="I69" s="1">
        <f>+WORKDAY.INTL(H69,-10,1,Feriados!$A$2:$A$1048576)</f>
        <v>46184</v>
      </c>
      <c r="J69">
        <f>+VLOOKUP(A69,[1]CER_implicito!$A:$G,4)</f>
        <v>769.30633694374978</v>
      </c>
      <c r="K69" s="6">
        <f t="shared" si="30"/>
        <v>2.0649552752074918E-2</v>
      </c>
      <c r="L69" s="1">
        <f t="shared" si="31"/>
        <v>46324</v>
      </c>
      <c r="M69" s="1">
        <f>+WORKDAY.INTL(L69,-10,1,Feriados!$A$2:$A$1048576)</f>
        <v>46310</v>
      </c>
      <c r="N69">
        <f>+VLOOKUP(A69,[1]CER_implicito!$A:$G,6)</f>
        <v>817.16062174446017</v>
      </c>
      <c r="O69" s="6">
        <f t="shared" si="32"/>
        <v>1.7007712962168187E-2</v>
      </c>
      <c r="P69" s="1">
        <f t="shared" si="33"/>
        <v>46171</v>
      </c>
      <c r="Q69" s="1">
        <f>+WORKDAY.INTL(P69,-10,1,Feriados!$A$2:$A$1048576)</f>
        <v>46156</v>
      </c>
      <c r="R69">
        <f>+VLOOKUP(A69,[1]CER_implicito!$A:$G,7)</f>
        <v>755.68912870661256</v>
      </c>
      <c r="S69" s="6">
        <f t="shared" si="5"/>
        <v>2.1271043656068356E-2</v>
      </c>
      <c r="T69" s="1">
        <f t="shared" si="35"/>
        <v>46507</v>
      </c>
      <c r="U69" s="1">
        <f t="shared" si="35"/>
        <v>46493</v>
      </c>
      <c r="V69">
        <f>+VLOOKUP(A69,[1]CER_implicito!$A:$G,5)</f>
        <v>889.54685451047737</v>
      </c>
      <c r="W69" s="6">
        <f t="shared" si="34"/>
        <v>1.5625458310364548E-2</v>
      </c>
      <c r="X69" s="1"/>
      <c r="Y69" s="1"/>
      <c r="AA69" s="6"/>
      <c r="AB69" s="1">
        <f t="shared" si="18"/>
        <v>46233</v>
      </c>
      <c r="AC69" s="1">
        <f>+WORKDAY.INTL(AB69,-10,1,Feriados!$A$2:$A$1048576)</f>
        <v>46219</v>
      </c>
      <c r="AD69">
        <f>+VLOOKUP(A69,[1]CER_implicito!$A:$I,9)</f>
        <v>784.25398466326396</v>
      </c>
      <c r="AE69" s="6">
        <f t="shared" si="19"/>
        <v>1.9504553448442152E-2</v>
      </c>
      <c r="AF69" s="1"/>
      <c r="AG69" s="1"/>
      <c r="AI69" s="6"/>
      <c r="AJ69" s="1">
        <f t="shared" si="20"/>
        <v>46355</v>
      </c>
      <c r="AK69" s="1">
        <f>+WORKDAY.INTL(AJ69,-10,1,Feriados!$A$2:$A$1048576)</f>
        <v>46339</v>
      </c>
      <c r="AL69">
        <f>+VLOOKUP(A69,[1]CER_implicito!$A:$K,11)</f>
        <v>834.84265768396858</v>
      </c>
      <c r="AM69" s="6">
        <f t="shared" si="21"/>
        <v>1.7648887723844542E-2</v>
      </c>
    </row>
    <row r="70" spans="1:39" x14ac:dyDescent="0.4">
      <c r="A70" s="1">
        <f>+[1]CER_implicito!$A487</f>
        <v>46078</v>
      </c>
      <c r="B70" s="1">
        <v>46096</v>
      </c>
      <c r="C70">
        <f>+VLOOKUP(B70,'Sheet1 (2)'!A:C,3)</f>
        <v>724.53794951432371</v>
      </c>
      <c r="D70" s="1">
        <f t="shared" si="28"/>
        <v>46112</v>
      </c>
      <c r="E70" s="1">
        <f>+E69</f>
        <v>46094</v>
      </c>
      <c r="F70">
        <f>+VLOOKUP(A70,[1]CER_implicito!$A:$G,3)</f>
        <v>722.81743214226549</v>
      </c>
      <c r="G70" s="25">
        <f t="shared" si="6"/>
        <v>3.630548584710902E-2</v>
      </c>
      <c r="H70" s="1">
        <f>+H69</f>
        <v>46202</v>
      </c>
      <c r="I70" s="1">
        <f>+WORKDAY.INTL(H70,-10,1,Feriados!$A$2:$A$1048576)</f>
        <v>46184</v>
      </c>
      <c r="J70">
        <f>+VLOOKUP(A70,[1]CER_implicito!$A:$G,4)</f>
        <v>769.68262561403276</v>
      </c>
      <c r="K70" s="6">
        <f t="shared" si="30"/>
        <v>2.0819716512395336E-2</v>
      </c>
      <c r="L70" s="1">
        <f>+L69</f>
        <v>46324</v>
      </c>
      <c r="M70" s="1">
        <f>+WORKDAY.INTL(L70,-10,1,Feriados!$A$2:$A$1048576)</f>
        <v>46310</v>
      </c>
      <c r="N70">
        <f>+VLOOKUP(A70,[1]CER_implicito!$A:$G,6)</f>
        <v>819.0029812359453</v>
      </c>
      <c r="O70" s="6">
        <f t="shared" si="32"/>
        <v>1.7328840916525534E-2</v>
      </c>
      <c r="P70" s="1">
        <f>+P69</f>
        <v>46171</v>
      </c>
      <c r="Q70" s="1">
        <f>+WORKDAY.INTL(P70,-10,1,Feriados!$A$2:$A$1048576)</f>
        <v>46156</v>
      </c>
      <c r="R70">
        <f>+VLOOKUP(A70,[1]CER_implicito!$A:$G,7)</f>
        <v>756.90017988719705</v>
      </c>
      <c r="S70" s="6">
        <f t="shared" si="5"/>
        <v>2.2089049586627718E-2</v>
      </c>
      <c r="T70" s="1">
        <f t="shared" ref="T70:U72" si="36">+T69</f>
        <v>46507</v>
      </c>
      <c r="U70" s="1">
        <f t="shared" si="36"/>
        <v>46493</v>
      </c>
      <c r="V70">
        <f>+VLOOKUP(A70,[1]CER_implicito!$A:$G,5)</f>
        <v>887.49012844324136</v>
      </c>
      <c r="W70" s="6">
        <f t="shared" si="34"/>
        <v>1.5447820046749827E-2</v>
      </c>
      <c r="X70" s="1"/>
      <c r="Y70" s="1"/>
      <c r="AA70" s="6"/>
      <c r="AB70" s="1">
        <f t="shared" si="18"/>
        <v>46233</v>
      </c>
      <c r="AC70" s="1">
        <f>+WORKDAY.INTL(AB70,-10,1,Feriados!$A$2:$A$1048576)</f>
        <v>46219</v>
      </c>
      <c r="AD70">
        <f>+VLOOKUP(A70,[1]CER_implicito!$A:$I,9)</f>
        <v>784.03691695001817</v>
      </c>
      <c r="AE70" s="6">
        <f t="shared" si="19"/>
        <v>1.9435721627552693E-2</v>
      </c>
      <c r="AF70" s="1"/>
      <c r="AG70" s="1"/>
      <c r="AI70" s="6"/>
      <c r="AJ70" s="1">
        <f t="shared" si="20"/>
        <v>46355</v>
      </c>
      <c r="AK70" s="1">
        <f>+WORKDAY.INTL(AJ70,-10,1,Feriados!$A$2:$A$1048576)</f>
        <v>46339</v>
      </c>
      <c r="AL70">
        <f>+VLOOKUP(A70,[1]CER_implicito!$A:$K,11)</f>
        <v>833.22448083786162</v>
      </c>
      <c r="AM70" s="6">
        <f t="shared" si="21"/>
        <v>1.7405160793160901E-2</v>
      </c>
    </row>
    <row r="71" spans="1:39" x14ac:dyDescent="0.4">
      <c r="A71" s="1">
        <f>+[1]CER_implicito!$A488</f>
        <v>46079</v>
      </c>
      <c r="B71" s="1">
        <v>46096</v>
      </c>
      <c r="C71">
        <f>+VLOOKUP(B71,'Sheet1 (2)'!A:C,3)</f>
        <v>724.53794951432371</v>
      </c>
      <c r="D71" s="1">
        <f t="shared" si="28"/>
        <v>46112</v>
      </c>
      <c r="E71" s="1">
        <f>+E70</f>
        <v>46094</v>
      </c>
      <c r="F71">
        <f>+VLOOKUP(A71,[1]CER_implicito!$A:$G,3)</f>
        <v>723.09501000043451</v>
      </c>
      <c r="G71" s="25">
        <f t="shared" si="6"/>
        <v>3.0354322334446238E-2</v>
      </c>
      <c r="H71" s="1">
        <f>+H70</f>
        <v>46202</v>
      </c>
      <c r="I71" s="1">
        <f>+WORKDAY.INTL(H71,-10,1,Feriados!$A$2:$A$1048576)</f>
        <v>46184</v>
      </c>
      <c r="J71">
        <f>+VLOOKUP(A71,[1]CER_implicito!$A:$G,4)</f>
        <v>770.73786501322854</v>
      </c>
      <c r="K71" s="6">
        <f t="shared" si="30"/>
        <v>2.1296620367713848E-2</v>
      </c>
      <c r="L71" s="1">
        <f>+L70</f>
        <v>46324</v>
      </c>
      <c r="M71" s="1">
        <f>+WORKDAY.INTL(L71,-10,1,Feriados!$A$2:$A$1048576)</f>
        <v>46310</v>
      </c>
      <c r="N71">
        <f>+VLOOKUP(A71,[1]CER_implicito!$A:$G,6)</f>
        <v>820.36541285773046</v>
      </c>
      <c r="O71" s="6">
        <f t="shared" si="32"/>
        <v>1.7565916970191608E-2</v>
      </c>
      <c r="P71" s="1">
        <f>+P70</f>
        <v>46171</v>
      </c>
      <c r="Q71" s="1">
        <f>+WORKDAY.INTL(P71,-10,1,Feriados!$A$2:$A$1048576)</f>
        <v>46156</v>
      </c>
      <c r="R71">
        <f>+VLOOKUP(A71,[1]CER_implicito!$A:$G,7)</f>
        <v>755.51991598899292</v>
      </c>
      <c r="S71" s="6">
        <f t="shared" si="5"/>
        <v>2.1156696554071042E-2</v>
      </c>
      <c r="T71" s="1">
        <f t="shared" si="36"/>
        <v>46507</v>
      </c>
      <c r="U71" s="1">
        <f t="shared" si="36"/>
        <v>46493</v>
      </c>
      <c r="V71">
        <f>+VLOOKUP(A71,[1]CER_implicito!$A:$G,5)</f>
        <v>887.31933582784109</v>
      </c>
      <c r="W71" s="6">
        <f t="shared" si="34"/>
        <v>1.543305167718878E-2</v>
      </c>
      <c r="X71" s="1"/>
      <c r="Y71" s="1"/>
      <c r="AA71" s="6"/>
      <c r="AB71" s="1">
        <f t="shared" si="18"/>
        <v>46233</v>
      </c>
      <c r="AC71" s="1">
        <f>+WORKDAY.INTL(AB71,-10,1,Feriados!$A$2:$A$1048576)</f>
        <v>46219</v>
      </c>
      <c r="AD71">
        <f>+VLOOKUP(A71,[1]CER_implicito!$A:$I,9)</f>
        <v>786.3678333064812</v>
      </c>
      <c r="AE71" s="6">
        <f t="shared" si="19"/>
        <v>2.017409942093451E-2</v>
      </c>
      <c r="AF71" s="1"/>
      <c r="AG71" s="1"/>
      <c r="AI71" s="6"/>
      <c r="AJ71" s="1">
        <f t="shared" si="20"/>
        <v>46355</v>
      </c>
      <c r="AK71" s="1">
        <f>+WORKDAY.INTL(AJ71,-10,1,Feriados!$A$2:$A$1048576)</f>
        <v>46339</v>
      </c>
      <c r="AL71">
        <f>+VLOOKUP(A71,[1]CER_implicito!$A:$K,11)</f>
        <v>836.94366199213619</v>
      </c>
      <c r="AM71" s="6">
        <f t="shared" si="21"/>
        <v>1.7964720158081038E-2</v>
      </c>
    </row>
    <row r="72" spans="1:39" x14ac:dyDescent="0.4">
      <c r="A72" s="1">
        <f>+[1]CER_implicito!$A489</f>
        <v>46080</v>
      </c>
      <c r="B72" s="1">
        <v>46096</v>
      </c>
      <c r="C72">
        <f>+VLOOKUP(B72,'Sheet1 (2)'!A:C,3)</f>
        <v>724.53794951432371</v>
      </c>
      <c r="D72" s="1">
        <f t="shared" si="28"/>
        <v>46112</v>
      </c>
      <c r="E72" s="1">
        <f>+E71</f>
        <v>46094</v>
      </c>
      <c r="F72">
        <f>+VLOOKUP(A72,[1]CER_implicito!$A:$G,3)</f>
        <v>724.12393627675988</v>
      </c>
      <c r="G72" s="25">
        <f t="shared" si="6"/>
        <v>8.6105629504800163E-3</v>
      </c>
      <c r="H72" s="1">
        <f>+H71</f>
        <v>46202</v>
      </c>
      <c r="I72" s="1">
        <f>+WORKDAY.INTL(H72,-10,1,Feriados!$A$2:$A$1048576)</f>
        <v>46184</v>
      </c>
      <c r="J72">
        <f>+VLOOKUP(A72,[1]CER_implicito!$A:$G,4)</f>
        <v>770.36672009630172</v>
      </c>
      <c r="K72" s="6">
        <f t="shared" si="30"/>
        <v>2.1128934589721649E-2</v>
      </c>
      <c r="L72" s="1">
        <f>+L71</f>
        <v>46324</v>
      </c>
      <c r="M72" s="1">
        <f>+WORKDAY.INTL(L72,-10,1,Feriados!$A$2:$A$1048576)</f>
        <v>46310</v>
      </c>
      <c r="N72">
        <f>+VLOOKUP(A72,[1]CER_implicito!$A:$G,6)</f>
        <v>827.81433321730071</v>
      </c>
      <c r="O72" s="6">
        <f t="shared" si="32"/>
        <v>1.8856146364859327E-2</v>
      </c>
      <c r="P72" s="1">
        <f>+P71</f>
        <v>46171</v>
      </c>
      <c r="Q72" s="1">
        <f>+WORKDAY.INTL(P72,-10,1,Feriados!$A$2:$A$1048576)</f>
        <v>46156</v>
      </c>
      <c r="R72">
        <f>+VLOOKUP(A72,[1]CER_implicito!$A:$G,7)</f>
        <v>757.65500955133859</v>
      </c>
      <c r="S72" s="6">
        <f t="shared" si="5"/>
        <v>2.259856913900804E-2</v>
      </c>
      <c r="T72" s="1">
        <f t="shared" si="36"/>
        <v>46507</v>
      </c>
      <c r="U72" s="1">
        <f t="shared" si="36"/>
        <v>46493</v>
      </c>
      <c r="V72">
        <f>+VLOOKUP(A72,[1]CER_implicito!$A:$G,5)</f>
        <v>891.74008474562913</v>
      </c>
      <c r="W72" s="6">
        <f t="shared" si="34"/>
        <v>1.58144685317958E-2</v>
      </c>
      <c r="X72" s="1"/>
      <c r="Y72" s="1"/>
      <c r="AA72" s="6"/>
      <c r="AB72" s="1">
        <f t="shared" si="18"/>
        <v>46233</v>
      </c>
      <c r="AC72" s="1">
        <f>+WORKDAY.INTL(AB72,-10,1,Feriados!$A$2:$A$1048576)</f>
        <v>46219</v>
      </c>
      <c r="AD72">
        <f>+VLOOKUP(A72,[1]CER_implicito!$A:$I,9)</f>
        <v>783.65611832436184</v>
      </c>
      <c r="AE72" s="6">
        <f t="shared" si="19"/>
        <v>1.9314936181111353E-2</v>
      </c>
      <c r="AF72" s="1"/>
      <c r="AG72" s="1"/>
      <c r="AI72" s="6"/>
      <c r="AJ72" s="1">
        <f t="shared" si="20"/>
        <v>46355</v>
      </c>
      <c r="AK72" s="1">
        <f>+WORKDAY.INTL(AJ72,-10,1,Feriados!$A$2:$A$1048576)</f>
        <v>46339</v>
      </c>
      <c r="AL72">
        <f>+VLOOKUP(A72,[1]CER_implicito!$A:$K,11)</f>
        <v>838.82289472586626</v>
      </c>
      <c r="AM72" s="6">
        <f t="shared" si="21"/>
        <v>1.8246626641006847E-2</v>
      </c>
    </row>
    <row r="73" spans="1:39" x14ac:dyDescent="0.4">
      <c r="A73" s="1">
        <f>+[1]CER_implicito!$A490</f>
        <v>46083</v>
      </c>
      <c r="B73" s="1">
        <v>46096</v>
      </c>
      <c r="C73">
        <f>+VLOOKUP(B73,'Sheet1 (2)'!A:C,3)</f>
        <v>724.53794951432371</v>
      </c>
      <c r="D73" s="1">
        <f t="shared" si="28"/>
        <v>46112</v>
      </c>
      <c r="E73" s="1">
        <f t="shared" si="28"/>
        <v>46094</v>
      </c>
      <c r="F73">
        <f>+VLOOKUP(A73,[1]CER_implicito!$A:$G,3)</f>
        <v>722.69687611034931</v>
      </c>
      <c r="G73" s="25">
        <f>+(F73/C73)^(30/(E73-B73))-1</f>
        <v>3.890157151241036E-2</v>
      </c>
      <c r="H73" s="1">
        <f t="shared" ref="H73:H84" si="37">+H72</f>
        <v>46202</v>
      </c>
      <c r="I73" s="1">
        <f>+WORKDAY.INTL(H73,-10,1,Feriados!$A$2:$A$1048576)</f>
        <v>46184</v>
      </c>
      <c r="J73">
        <f>+VLOOKUP(A73,[1]CER_implicito!$A:$G,4)</f>
        <v>768.89426226035823</v>
      </c>
      <c r="K73" s="6">
        <f t="shared" si="30"/>
        <v>2.0463143041044241E-2</v>
      </c>
      <c r="L73" s="1">
        <f t="shared" ref="L73:L84" si="38">+L72</f>
        <v>46324</v>
      </c>
      <c r="M73" s="1">
        <f>+WORKDAY.INTL(L73,-10,1,Feriados!$A$2:$A$1048576)</f>
        <v>46310</v>
      </c>
      <c r="N73">
        <f>+VLOOKUP(A73,[1]CER_implicito!$A:$G,6)</f>
        <v>819.74497447911654</v>
      </c>
      <c r="O73" s="6">
        <f t="shared" si="32"/>
        <v>1.7457996806895748E-2</v>
      </c>
      <c r="P73" s="1">
        <f t="shared" ref="P73:P84" si="39">+P72</f>
        <v>46171</v>
      </c>
      <c r="Q73" s="1">
        <f>+WORKDAY.INTL(P73,-10,1,Feriados!$A$2:$A$1048576)</f>
        <v>46156</v>
      </c>
      <c r="R73">
        <f>+VLOOKUP(A73,[1]CER_implicito!$A:$G,7)</f>
        <v>757.3995471970552</v>
      </c>
      <c r="S73" s="6">
        <f t="shared" si="5"/>
        <v>2.242615725042052E-2</v>
      </c>
      <c r="T73" s="1">
        <f t="shared" ref="T73:U73" si="40">+T72</f>
        <v>46507</v>
      </c>
      <c r="U73" s="1">
        <f t="shared" si="40"/>
        <v>46493</v>
      </c>
      <c r="V73">
        <f>+VLOOKUP(A73,[1]CER_implicito!$A:$G,5)</f>
        <v>893.51850931396507</v>
      </c>
      <c r="W73" s="6">
        <f t="shared" si="34"/>
        <v>1.5967415999727841E-2</v>
      </c>
      <c r="X73" s="1"/>
      <c r="Y73" s="1"/>
      <c r="AA73" s="6"/>
      <c r="AB73" s="1">
        <f t="shared" si="18"/>
        <v>46233</v>
      </c>
      <c r="AC73" s="1">
        <f>+WORKDAY.INTL(AB73,-10,1,Feriados!$A$2:$A$1048576)</f>
        <v>46219</v>
      </c>
      <c r="AD73">
        <f>+VLOOKUP(A73,[1]CER_implicito!$A:$I,9)</f>
        <v>782.72369946577487</v>
      </c>
      <c r="AE73" s="6">
        <f t="shared" si="19"/>
        <v>1.9018994936798705E-2</v>
      </c>
      <c r="AF73" s="1"/>
      <c r="AG73" s="1"/>
      <c r="AI73" s="6"/>
      <c r="AJ73" s="1">
        <f t="shared" si="20"/>
        <v>46355</v>
      </c>
      <c r="AK73" s="1">
        <f>+WORKDAY.INTL(AJ73,-10,1,Feriados!$A$2:$A$1048576)</f>
        <v>46339</v>
      </c>
      <c r="AL73">
        <f>+VLOOKUP(A73,[1]CER_implicito!$A:$K,11)</f>
        <v>831.92954019195054</v>
      </c>
      <c r="AM73" s="6">
        <f t="shared" si="21"/>
        <v>1.7209820085098526E-2</v>
      </c>
    </row>
    <row r="74" spans="1:39" x14ac:dyDescent="0.4">
      <c r="A74" s="1">
        <f>+[1]CER_implicito!$A491</f>
        <v>46084</v>
      </c>
      <c r="B74" s="1">
        <v>46096</v>
      </c>
      <c r="C74">
        <f>+VLOOKUP(B74,'Sheet1 (2)'!A:C,3)</f>
        <v>724.53794951432371</v>
      </c>
      <c r="D74" s="1">
        <f t="shared" si="28"/>
        <v>46112</v>
      </c>
      <c r="E74" s="1">
        <f t="shared" si="28"/>
        <v>46094</v>
      </c>
      <c r="F74">
        <f>+VLOOKUP(A74,[1]CER_implicito!$A:$G,3)</f>
        <v>722.44322542032535</v>
      </c>
      <c r="G74" s="25">
        <f t="shared" si="6"/>
        <v>4.4386433054149688E-2</v>
      </c>
      <c r="H74" s="1">
        <f t="shared" si="37"/>
        <v>46202</v>
      </c>
      <c r="I74" s="1">
        <f>+WORKDAY.INTL(H74,-10,1,Feriados!$A$2:$A$1048576)</f>
        <v>46184</v>
      </c>
      <c r="J74">
        <f>+VLOOKUP(A74,[1]CER_implicito!$A:$G,4)</f>
        <v>771.28471469632507</v>
      </c>
      <c r="K74" s="6">
        <f t="shared" si="30"/>
        <v>2.1543593795182892E-2</v>
      </c>
      <c r="L74" s="1">
        <f t="shared" si="38"/>
        <v>46324</v>
      </c>
      <c r="M74" s="1">
        <f>+WORKDAY.INTL(L74,-10,1,Feriados!$A$2:$A$1048576)</f>
        <v>46310</v>
      </c>
      <c r="N74">
        <f>+VLOOKUP(A74,[1]CER_implicito!$A:$G,6)</f>
        <v>822.3732726704518</v>
      </c>
      <c r="O74" s="6">
        <f t="shared" si="32"/>
        <v>1.791468732614887E-2</v>
      </c>
      <c r="P74" s="1">
        <f t="shared" si="39"/>
        <v>46171</v>
      </c>
      <c r="Q74" s="1">
        <f>+WORKDAY.INTL(P74,-10,1,Feriados!$A$2:$A$1048576)</f>
        <v>46156</v>
      </c>
      <c r="R74">
        <f>+VLOOKUP(A74,[1]CER_implicito!$A:$G,7)</f>
        <v>759.70741882549441</v>
      </c>
      <c r="S74" s="6">
        <f t="shared" si="5"/>
        <v>2.3982689438189153E-2</v>
      </c>
      <c r="T74" s="1">
        <f t="shared" ref="T74:U75" si="41">+T73</f>
        <v>46507</v>
      </c>
      <c r="U74" s="1">
        <f t="shared" si="41"/>
        <v>46493</v>
      </c>
      <c r="V74">
        <f>+VLOOKUP(A74,[1]CER_implicito!$A:$G,5)</f>
        <v>896.05459152609853</v>
      </c>
      <c r="W74" s="6">
        <f t="shared" si="34"/>
        <v>1.6185037203159558E-2</v>
      </c>
      <c r="X74" s="1"/>
      <c r="Y74" s="1"/>
      <c r="AA74" s="6"/>
      <c r="AB74" s="1">
        <f t="shared" si="18"/>
        <v>46233</v>
      </c>
      <c r="AC74" s="1">
        <f>+WORKDAY.INTL(AB74,-10,1,Feriados!$A$2:$A$1048576)</f>
        <v>46219</v>
      </c>
      <c r="AD74">
        <f>+VLOOKUP(A74,[1]CER_implicito!$A:$I,9)</f>
        <v>784.23423059716288</v>
      </c>
      <c r="AE74" s="6">
        <f t="shared" si="19"/>
        <v>1.9498290061862766E-2</v>
      </c>
      <c r="AF74" s="1"/>
      <c r="AG74" s="1"/>
      <c r="AI74" s="6"/>
      <c r="AJ74" s="1">
        <f t="shared" si="20"/>
        <v>46355</v>
      </c>
      <c r="AK74" s="1">
        <f>+WORKDAY.INTL(AJ74,-10,1,Feriados!$A$2:$A$1048576)</f>
        <v>46339</v>
      </c>
      <c r="AL74">
        <f>+VLOOKUP(A74,[1]CER_implicito!$A:$K,11)</f>
        <v>831.9898280316396</v>
      </c>
      <c r="AM74" s="6">
        <f t="shared" si="21"/>
        <v>1.7218920368319957E-2</v>
      </c>
    </row>
    <row r="75" spans="1:39" x14ac:dyDescent="0.4">
      <c r="A75" s="1">
        <f>+[1]CER_implicito!$A492</f>
        <v>46085</v>
      </c>
      <c r="B75" s="1">
        <v>46096</v>
      </c>
      <c r="C75">
        <f>+VLOOKUP(B75,'Sheet1 (2)'!A:C,3)</f>
        <v>724.53794951432371</v>
      </c>
      <c r="D75" s="1">
        <f t="shared" si="28"/>
        <v>46112</v>
      </c>
      <c r="E75" s="1">
        <f t="shared" si="28"/>
        <v>46094</v>
      </c>
      <c r="F75">
        <f>+VLOOKUP(A75,[1]CER_implicito!$A:$G,3)</f>
        <v>722.53913404059813</v>
      </c>
      <c r="G75" s="25">
        <f t="shared" si="6"/>
        <v>4.2308912822734968E-2</v>
      </c>
      <c r="H75" s="1">
        <f t="shared" si="37"/>
        <v>46202</v>
      </c>
      <c r="I75" s="1">
        <f>+WORKDAY.INTL(H75,-10,1,Feriados!$A$2:$A$1048576)</f>
        <v>46184</v>
      </c>
      <c r="J75">
        <f>+VLOOKUP(A75,[1]CER_implicito!$A:$G,4)</f>
        <v>773.00615541552474</v>
      </c>
      <c r="K75" s="6">
        <f t="shared" si="30"/>
        <v>2.2320294465061119E-2</v>
      </c>
      <c r="L75" s="1">
        <f t="shared" si="38"/>
        <v>46324</v>
      </c>
      <c r="M75" s="1">
        <f>+WORKDAY.INTL(L75,-10,1,Feriados!$A$2:$A$1048576)</f>
        <v>46310</v>
      </c>
      <c r="N75">
        <f>+VLOOKUP(A75,[1]CER_implicito!$A:$G,6)</f>
        <v>824.99044063446127</v>
      </c>
      <c r="O75" s="6">
        <f t="shared" si="32"/>
        <v>1.8368198561580229E-2</v>
      </c>
      <c r="P75" s="1">
        <f t="shared" si="39"/>
        <v>46171</v>
      </c>
      <c r="Q75" s="1">
        <f>+WORKDAY.INTL(P75,-10,1,Feriados!$A$2:$A$1048576)</f>
        <v>46156</v>
      </c>
      <c r="R75">
        <f>+VLOOKUP(A75,[1]CER_implicito!$A:$G,7)</f>
        <v>758.64331208057627</v>
      </c>
      <c r="S75" s="6">
        <f t="shared" si="5"/>
        <v>2.3265302269450006E-2</v>
      </c>
      <c r="T75" s="1">
        <f t="shared" si="41"/>
        <v>46507</v>
      </c>
      <c r="U75" s="1">
        <f t="shared" si="41"/>
        <v>46493</v>
      </c>
      <c r="V75">
        <f>+VLOOKUP(A75,[1]CER_implicito!$A:$G,5)</f>
        <v>899.72794448472598</v>
      </c>
      <c r="W75" s="6">
        <f t="shared" si="34"/>
        <v>1.6499240107050062E-2</v>
      </c>
      <c r="X75" s="1"/>
      <c r="Y75" s="1"/>
      <c r="AA75" s="6"/>
      <c r="AB75" s="1">
        <f t="shared" si="18"/>
        <v>46233</v>
      </c>
      <c r="AC75" s="1">
        <f>+WORKDAY.INTL(AB75,-10,1,Feriados!$A$2:$A$1048576)</f>
        <v>46219</v>
      </c>
      <c r="AD75">
        <f>+VLOOKUP(A75,[1]CER_implicito!$A:$I,9)</f>
        <v>788.48423177350344</v>
      </c>
      <c r="AE75" s="6">
        <f t="shared" si="19"/>
        <v>2.0843091115021695E-2</v>
      </c>
      <c r="AF75" s="1"/>
      <c r="AG75" s="1"/>
      <c r="AI75" s="6"/>
      <c r="AJ75" s="1">
        <f t="shared" si="20"/>
        <v>46355</v>
      </c>
      <c r="AK75" s="1">
        <f>+WORKDAY.INTL(AJ75,-10,1,Feriados!$A$2:$A$1048576)</f>
        <v>46339</v>
      </c>
      <c r="AL75">
        <f>+VLOOKUP(A75,[1]CER_implicito!$A:$K,11)</f>
        <v>835.19955408650139</v>
      </c>
      <c r="AM75" s="6">
        <f t="shared" si="21"/>
        <v>1.7702587085824506E-2</v>
      </c>
    </row>
    <row r="76" spans="1:39" x14ac:dyDescent="0.4">
      <c r="A76" s="1">
        <f>+[1]CER_implicito!$A493</f>
        <v>46086</v>
      </c>
      <c r="B76" s="1">
        <v>46096</v>
      </c>
      <c r="C76">
        <f>+VLOOKUP(B76,'Sheet1 (2)'!A:C,3)</f>
        <v>724.53794951432371</v>
      </c>
      <c r="D76" s="1">
        <f t="shared" ref="D76:E76" si="42">+D75</f>
        <v>46112</v>
      </c>
      <c r="E76" s="1">
        <f t="shared" si="42"/>
        <v>46094</v>
      </c>
      <c r="F76">
        <f>+VLOOKUP(A76,[1]CER_implicito!$A:$G,3)</f>
        <v>722.89599144360955</v>
      </c>
      <c r="G76" s="25">
        <f t="shared" si="6"/>
        <v>3.4617493359863305E-2</v>
      </c>
      <c r="H76" s="1">
        <f t="shared" si="37"/>
        <v>46202</v>
      </c>
      <c r="I76" s="1">
        <f>+WORKDAY.INTL(H76,-10,1,Feriados!$A$2:$A$1048576)</f>
        <v>46184</v>
      </c>
      <c r="J76">
        <f>+VLOOKUP(A76,[1]CER_implicito!$A:$G,4)</f>
        <v>772.31422080522304</v>
      </c>
      <c r="K76" s="6">
        <f t="shared" si="30"/>
        <v>2.200823610550362E-2</v>
      </c>
      <c r="L76" s="1">
        <f t="shared" si="38"/>
        <v>46324</v>
      </c>
      <c r="M76" s="1">
        <f>+WORKDAY.INTL(L76,-10,1,Feriados!$A$2:$A$1048576)</f>
        <v>46310</v>
      </c>
      <c r="N76">
        <f>+VLOOKUP(A76,[1]CER_implicito!$A:$G,6)</f>
        <v>830.42410079692525</v>
      </c>
      <c r="O76" s="6">
        <f t="shared" si="32"/>
        <v>1.9305824096686575E-2</v>
      </c>
      <c r="P76" s="1">
        <f t="shared" si="39"/>
        <v>46171</v>
      </c>
      <c r="Q76" s="1">
        <f>+WORKDAY.INTL(P76,-10,1,Feriados!$A$2:$A$1048576)</f>
        <v>46156</v>
      </c>
      <c r="R76">
        <f>+VLOOKUP(A76,[1]CER_implicito!$A:$G,7)</f>
        <v>757.77170026853094</v>
      </c>
      <c r="S76" s="6">
        <f t="shared" si="5"/>
        <v>2.2677314190975739E-2</v>
      </c>
      <c r="T76" s="1">
        <f t="shared" ref="T76:U76" si="43">+T75</f>
        <v>46507</v>
      </c>
      <c r="U76" s="1">
        <f t="shared" si="43"/>
        <v>46493</v>
      </c>
      <c r="V76">
        <f>+VLOOKUP(A76,[1]CER_implicito!$A:$G,5)</f>
        <v>901.26516582118074</v>
      </c>
      <c r="W76" s="6">
        <f t="shared" si="34"/>
        <v>1.6630375605623859E-2</v>
      </c>
      <c r="X76" s="1"/>
      <c r="Y76" s="1"/>
      <c r="AA76" s="6"/>
      <c r="AB76" s="1">
        <f t="shared" si="18"/>
        <v>46233</v>
      </c>
      <c r="AC76" s="1">
        <f>+WORKDAY.INTL(AB76,-10,1,Feriados!$A$2:$A$1048576)</f>
        <v>46219</v>
      </c>
      <c r="AD76">
        <f>+VLOOKUP(A76,[1]CER_implicito!$A:$I,9)</f>
        <v>789.25981803974344</v>
      </c>
      <c r="AE76" s="6">
        <f t="shared" si="19"/>
        <v>2.1087913316481854E-2</v>
      </c>
      <c r="AF76" s="1"/>
      <c r="AG76" s="1"/>
      <c r="AI76" s="6"/>
      <c r="AJ76" s="1">
        <f t="shared" si="20"/>
        <v>46355</v>
      </c>
      <c r="AK76" s="1">
        <f>+WORKDAY.INTL(AJ76,-10,1,Feriados!$A$2:$A$1048576)</f>
        <v>46339</v>
      </c>
      <c r="AL76">
        <f>+VLOOKUP(A76,[1]CER_implicito!$A:$K,11)</f>
        <v>840.91102885132261</v>
      </c>
      <c r="AM76" s="6">
        <f t="shared" si="21"/>
        <v>1.855922214872896E-2</v>
      </c>
    </row>
    <row r="77" spans="1:39" x14ac:dyDescent="0.4">
      <c r="A77" s="1">
        <f>+[1]CER_implicito!$A494</f>
        <v>46087</v>
      </c>
      <c r="B77" s="1">
        <v>46096</v>
      </c>
      <c r="C77">
        <f>+VLOOKUP(B77,'Sheet1 (2)'!A:C,3)</f>
        <v>724.53794951432371</v>
      </c>
      <c r="D77" s="1">
        <f t="shared" ref="D77:E77" si="44">+D76</f>
        <v>46112</v>
      </c>
      <c r="E77" s="1">
        <f t="shared" si="44"/>
        <v>46094</v>
      </c>
      <c r="F77">
        <f>+VLOOKUP(A77,[1]CER_implicito!$A:$G,3)</f>
        <v>724.21333859549895</v>
      </c>
      <c r="G77" s="25">
        <f t="shared" si="6"/>
        <v>6.7445193571877837E-3</v>
      </c>
      <c r="H77" s="1">
        <f t="shared" si="37"/>
        <v>46202</v>
      </c>
      <c r="I77" s="1">
        <f>+WORKDAY.INTL(H77,-10,1,Feriados!$A$2:$A$1048576)</f>
        <v>46184</v>
      </c>
      <c r="J77">
        <f>+VLOOKUP(A77,[1]CER_implicito!$A:$G,4)</f>
        <v>773.89171319090815</v>
      </c>
      <c r="K77" s="6">
        <f t="shared" si="30"/>
        <v>2.2719407238763312E-2</v>
      </c>
      <c r="L77" s="1">
        <f t="shared" si="38"/>
        <v>46324</v>
      </c>
      <c r="M77" s="1">
        <f>+WORKDAY.INTL(L77,-10,1,Feriados!$A$2:$A$1048576)</f>
        <v>46310</v>
      </c>
      <c r="N77">
        <f>+VLOOKUP(A77,[1]CER_implicito!$A:$G,6)</f>
        <v>831.40313277343876</v>
      </c>
      <c r="O77" s="6">
        <f t="shared" si="32"/>
        <v>1.947420347666684E-2</v>
      </c>
      <c r="P77" s="1">
        <f t="shared" si="39"/>
        <v>46171</v>
      </c>
      <c r="Q77" s="1">
        <f>+WORKDAY.INTL(P77,-10,1,Feriados!$A$2:$A$1048576)</f>
        <v>46156</v>
      </c>
      <c r="R77">
        <f>+VLOOKUP(A77,[1]CER_implicito!$A:$G,7)</f>
        <v>760.00586318264618</v>
      </c>
      <c r="S77" s="6">
        <f t="shared" si="5"/>
        <v>2.4183800971759428E-2</v>
      </c>
      <c r="T77" s="1">
        <f t="shared" ref="T77:U77" si="45">+T76</f>
        <v>46507</v>
      </c>
      <c r="U77" s="1">
        <f t="shared" si="45"/>
        <v>46493</v>
      </c>
      <c r="V77">
        <f>+VLOOKUP(A77,[1]CER_implicito!$A:$G,5)</f>
        <v>904.09912387492466</v>
      </c>
      <c r="W77" s="6">
        <f t="shared" si="34"/>
        <v>1.6871590582475449E-2</v>
      </c>
      <c r="X77" s="1"/>
      <c r="Y77" s="1"/>
      <c r="AA77" s="6"/>
      <c r="AB77" s="1">
        <f t="shared" si="18"/>
        <v>46233</v>
      </c>
      <c r="AC77" s="1">
        <f>+WORKDAY.INTL(AB77,-10,1,Feriados!$A$2:$A$1048576)</f>
        <v>46219</v>
      </c>
      <c r="AD77">
        <f>+VLOOKUP(A77,[1]CER_implicito!$A:$I,9)</f>
        <v>791.00857485828044</v>
      </c>
      <c r="AE77" s="6">
        <f t="shared" si="19"/>
        <v>2.1639260605259336E-2</v>
      </c>
      <c r="AF77" s="1"/>
      <c r="AG77" s="1"/>
      <c r="AI77" s="6"/>
      <c r="AJ77" s="1">
        <f t="shared" si="20"/>
        <v>46355</v>
      </c>
      <c r="AK77" s="1">
        <f>+WORKDAY.INTL(AJ77,-10,1,Feriados!$A$2:$A$1048576)</f>
        <v>46339</v>
      </c>
      <c r="AL77">
        <f>+VLOOKUP(A77,[1]CER_implicito!$A:$K,11)</f>
        <v>848.29078631640471</v>
      </c>
      <c r="AM77" s="6">
        <f t="shared" si="21"/>
        <v>1.9658554064515332E-2</v>
      </c>
    </row>
    <row r="78" spans="1:39" x14ac:dyDescent="0.4">
      <c r="A78" s="1">
        <f>+[1]CER_implicito!$A495</f>
        <v>46090</v>
      </c>
      <c r="B78" s="1">
        <v>46096</v>
      </c>
      <c r="C78">
        <f>+VLOOKUP(B78,'Sheet1 (2)'!A:C,3)</f>
        <v>724.53794951432371</v>
      </c>
      <c r="D78" s="1">
        <f t="shared" ref="D78:E78" si="46">+D77</f>
        <v>46112</v>
      </c>
      <c r="E78" s="1">
        <f t="shared" si="46"/>
        <v>46094</v>
      </c>
      <c r="F78">
        <f>+VLOOKUP(A78,[1]CER_implicito!$A:$G,3)</f>
        <v>722.82303255636066</v>
      </c>
      <c r="G78" s="25">
        <f>+(F78/C78)^(30/(E78-B78))-1</f>
        <v>3.618505335889699E-2</v>
      </c>
      <c r="H78" s="1">
        <f t="shared" si="37"/>
        <v>46202</v>
      </c>
      <c r="I78" s="1">
        <f>+WORKDAY.INTL(H78,-10,1,Feriados!$A$2:$A$1048576)</f>
        <v>46184</v>
      </c>
      <c r="J78">
        <f>+VLOOKUP(A78,[1]CER_implicito!$A:$G,4)</f>
        <v>773.5495806431951</v>
      </c>
      <c r="K78" s="6">
        <f t="shared" si="30"/>
        <v>2.2565246934736827E-2</v>
      </c>
      <c r="L78" s="1">
        <f t="shared" si="38"/>
        <v>46324</v>
      </c>
      <c r="M78" s="1">
        <f>+WORKDAY.INTL(L78,-10,1,Feriados!$A$2:$A$1048576)</f>
        <v>46310</v>
      </c>
      <c r="N78">
        <f>+VLOOKUP(A78,[1]CER_implicito!$A:$G,6)</f>
        <v>832.91655546743857</v>
      </c>
      <c r="O78" s="6">
        <f t="shared" si="32"/>
        <v>1.9734155195027636E-2</v>
      </c>
      <c r="P78" s="1">
        <f t="shared" si="39"/>
        <v>46171</v>
      </c>
      <c r="Q78" s="1">
        <f>+WORKDAY.INTL(P78,-10,1,Feriados!$A$2:$A$1048576)</f>
        <v>46156</v>
      </c>
      <c r="R78">
        <f>+VLOOKUP(A78,[1]CER_implicito!$A:$G,7)</f>
        <v>758.85222049120568</v>
      </c>
      <c r="S78" s="6">
        <f t="shared" si="5"/>
        <v>2.3406181395477565E-2</v>
      </c>
      <c r="T78" s="1">
        <f t="shared" ref="T78:U78" si="47">+T77</f>
        <v>46507</v>
      </c>
      <c r="U78" s="1">
        <f t="shared" si="47"/>
        <v>46493</v>
      </c>
      <c r="V78">
        <f>+VLOOKUP(A78,[1]CER_implicito!$A:$G,5)</f>
        <v>902.86270942781732</v>
      </c>
      <c r="W78" s="6">
        <f t="shared" si="34"/>
        <v>1.6766438092425062E-2</v>
      </c>
      <c r="X78" s="1"/>
      <c r="Y78" s="1"/>
      <c r="AA78" s="6"/>
      <c r="AB78" s="1">
        <f t="shared" si="18"/>
        <v>46233</v>
      </c>
      <c r="AC78" s="1">
        <f>+WORKDAY.INTL(AB78,-10,1,Feriados!$A$2:$A$1048576)</f>
        <v>46219</v>
      </c>
      <c r="AD78">
        <f>+VLOOKUP(A78,[1]CER_implicito!$A:$I,9)</f>
        <v>788.24155009688127</v>
      </c>
      <c r="AE78" s="6">
        <f t="shared" si="19"/>
        <v>2.0766448617145938E-2</v>
      </c>
      <c r="AF78" s="1"/>
      <c r="AG78" s="1"/>
      <c r="AI78" s="6"/>
      <c r="AJ78" s="1">
        <f t="shared" si="20"/>
        <v>46355</v>
      </c>
      <c r="AK78" s="1">
        <f>+WORKDAY.INTL(AJ78,-10,1,Feriados!$A$2:$A$1048576)</f>
        <v>46339</v>
      </c>
      <c r="AL78">
        <f>+VLOOKUP(A78,[1]CER_implicito!$A:$K,11)</f>
        <v>850.09989517499378</v>
      </c>
      <c r="AM78" s="6">
        <f t="shared" si="21"/>
        <v>1.9926769719646353E-2</v>
      </c>
    </row>
    <row r="79" spans="1:39" x14ac:dyDescent="0.4">
      <c r="A79" s="1">
        <f>+[1]CER_implicito!$A496</f>
        <v>46091</v>
      </c>
      <c r="B79" s="1">
        <v>46096</v>
      </c>
      <c r="C79">
        <f>+VLOOKUP(B79,'Sheet1 (2)'!A:C,3)</f>
        <v>724.53794951432371</v>
      </c>
      <c r="D79" s="1">
        <f t="shared" ref="D79:E80" si="48">+D78</f>
        <v>46112</v>
      </c>
      <c r="E79" s="1">
        <f t="shared" si="48"/>
        <v>46094</v>
      </c>
      <c r="F79">
        <f>+VLOOKUP(A79,[1]CER_implicito!$A:$G,3)</f>
        <v>722.89827411316787</v>
      </c>
      <c r="G79" s="25">
        <f t="shared" si="6"/>
        <v>3.4568489833226801E-2</v>
      </c>
      <c r="H79" s="1">
        <f t="shared" si="37"/>
        <v>46202</v>
      </c>
      <c r="I79" s="1">
        <f>+WORKDAY.INTL(H79,-10,1,Feriados!$A$2:$A$1048576)</f>
        <v>46184</v>
      </c>
      <c r="J79">
        <f>+VLOOKUP(A79,[1]CER_implicito!$A:$G,4)</f>
        <v>773.85374056794365</v>
      </c>
      <c r="K79" s="6">
        <f t="shared" si="30"/>
        <v>2.2702299504200774E-2</v>
      </c>
      <c r="L79" s="1">
        <f t="shared" si="38"/>
        <v>46324</v>
      </c>
      <c r="M79" s="1">
        <f>+WORKDAY.INTL(L79,-10,1,Feriados!$A$2:$A$1048576)</f>
        <v>46310</v>
      </c>
      <c r="N79">
        <f>+VLOOKUP(A79,[1]CER_implicito!$A:$G,6)</f>
        <v>832.21310617378981</v>
      </c>
      <c r="O79" s="6">
        <f t="shared" si="32"/>
        <v>1.9613378403174009E-2</v>
      </c>
      <c r="P79" s="1">
        <f t="shared" si="39"/>
        <v>46171</v>
      </c>
      <c r="Q79" s="1">
        <f>+WORKDAY.INTL(P79,-10,1,Feriados!$A$2:$A$1048576)</f>
        <v>46156</v>
      </c>
      <c r="R79">
        <f>+VLOOKUP(A79,[1]CER_implicito!$A:$G,7)</f>
        <v>759.64276198890298</v>
      </c>
      <c r="S79" s="6">
        <f t="shared" si="5"/>
        <v>2.3939114182418342E-2</v>
      </c>
      <c r="T79" s="1">
        <f t="shared" ref="T79:U80" si="49">+T78</f>
        <v>46507</v>
      </c>
      <c r="U79" s="1">
        <f t="shared" si="49"/>
        <v>46493</v>
      </c>
      <c r="V79">
        <f>+VLOOKUP(A79,[1]CER_implicito!$A:$G,5)</f>
        <v>900.48260678345275</v>
      </c>
      <c r="W79" s="6">
        <f t="shared" si="34"/>
        <v>1.6563643824558216E-2</v>
      </c>
      <c r="X79" s="1"/>
      <c r="Y79" s="1"/>
      <c r="AA79" s="6"/>
      <c r="AB79" s="1">
        <f t="shared" si="18"/>
        <v>46233</v>
      </c>
      <c r="AC79" s="1">
        <f>+WORKDAY.INTL(AB79,-10,1,Feriados!$A$2:$A$1048576)</f>
        <v>46219</v>
      </c>
      <c r="AD79">
        <f>+VLOOKUP(A79,[1]CER_implicito!$A:$I,9)</f>
        <v>788.88125830766114</v>
      </c>
      <c r="AE79" s="6">
        <f t="shared" si="19"/>
        <v>2.0968439574693187E-2</v>
      </c>
      <c r="AF79" s="1"/>
      <c r="AG79" s="1"/>
      <c r="AI79" s="6"/>
      <c r="AJ79" s="1">
        <f t="shared" si="20"/>
        <v>46355</v>
      </c>
      <c r="AK79" s="1">
        <f>+WORKDAY.INTL(AJ79,-10,1,Feriados!$A$2:$A$1048576)</f>
        <v>46339</v>
      </c>
      <c r="AL79">
        <f>+VLOOKUP(A79,[1]CER_implicito!$A:$K,11)</f>
        <v>848.15557978939239</v>
      </c>
      <c r="AM79" s="6">
        <f t="shared" si="21"/>
        <v>1.9638488425495204E-2</v>
      </c>
    </row>
    <row r="80" spans="1:39" x14ac:dyDescent="0.4">
      <c r="A80" s="1">
        <f>+[1]CER_implicito!$A497</f>
        <v>46092</v>
      </c>
      <c r="B80" s="1">
        <v>46096</v>
      </c>
      <c r="C80">
        <f>+VLOOKUP(B80,'Sheet1 (2)'!A:C,3)</f>
        <v>724.53794951432371</v>
      </c>
      <c r="D80" s="1">
        <f t="shared" si="48"/>
        <v>46112</v>
      </c>
      <c r="E80" s="1">
        <f t="shared" si="48"/>
        <v>46094</v>
      </c>
      <c r="F80">
        <f>+VLOOKUP(A80,[1]CER_implicito!$A:$G,3)</f>
        <v>723.31091918101129</v>
      </c>
      <c r="G80" s="25">
        <f>+(F80/C80)^(30/(E80-B80))-1</f>
        <v>2.5750519583942255E-2</v>
      </c>
      <c r="H80" s="1">
        <f t="shared" si="37"/>
        <v>46202</v>
      </c>
      <c r="I80" s="1">
        <f>+WORKDAY.INTL(H80,-10,1,Feriados!$A$2:$A$1048576)</f>
        <v>46184</v>
      </c>
      <c r="J80">
        <f>+VLOOKUP(A80,[1]CER_implicito!$A:$G,4)</f>
        <v>773.05069859613479</v>
      </c>
      <c r="K80" s="6">
        <f t="shared" si="30"/>
        <v>2.234037686401158E-2</v>
      </c>
      <c r="L80" s="1">
        <f t="shared" si="38"/>
        <v>46324</v>
      </c>
      <c r="M80" s="1">
        <f>+WORKDAY.INTL(L80,-10,1,Feriados!$A$2:$A$1048576)</f>
        <v>46310</v>
      </c>
      <c r="N80">
        <f>+VLOOKUP(A80,[1]CER_implicito!$A:$G,6)</f>
        <v>829.13705347769985</v>
      </c>
      <c r="O80" s="6">
        <f t="shared" si="32"/>
        <v>1.9084210650165412E-2</v>
      </c>
      <c r="P80" s="1">
        <f t="shared" si="39"/>
        <v>46171</v>
      </c>
      <c r="Q80" s="1">
        <f>+WORKDAY.INTL(P80,-10,1,Feriados!$A$2:$A$1048576)</f>
        <v>46156</v>
      </c>
      <c r="R80">
        <f>+VLOOKUP(A80,[1]CER_implicito!$A:$G,7)</f>
        <v>757.92446588017424</v>
      </c>
      <c r="S80" s="6">
        <f t="shared" si="5"/>
        <v>2.2780394084448874E-2</v>
      </c>
      <c r="T80" s="1">
        <f t="shared" si="49"/>
        <v>46507</v>
      </c>
      <c r="U80" s="1">
        <f t="shared" si="49"/>
        <v>46493</v>
      </c>
      <c r="V80">
        <f>+VLOOKUP(A80,[1]CER_implicito!$A:$G,5)</f>
        <v>895.99927170704348</v>
      </c>
      <c r="W80" s="6">
        <f t="shared" si="34"/>
        <v>1.6180296287618745E-2</v>
      </c>
      <c r="X80" s="1"/>
      <c r="Y80" s="1"/>
      <c r="AA80" s="6"/>
      <c r="AB80" s="1">
        <f t="shared" si="18"/>
        <v>46233</v>
      </c>
      <c r="AC80" s="1">
        <f>+WORKDAY.INTL(AB80,-10,1,Feriados!$A$2:$A$1048576)</f>
        <v>46219</v>
      </c>
      <c r="AD80">
        <f>+VLOOKUP(A80,[1]CER_implicito!$A:$I,9)</f>
        <v>788.95456729807586</v>
      </c>
      <c r="AE80" s="6">
        <f t="shared" si="19"/>
        <v>2.0991579332223953E-2</v>
      </c>
      <c r="AF80" s="1"/>
      <c r="AG80" s="1"/>
      <c r="AI80" s="6"/>
      <c r="AJ80" s="1">
        <f t="shared" si="20"/>
        <v>46355</v>
      </c>
      <c r="AK80" s="1">
        <f>+WORKDAY.INTL(AJ80,-10,1,Feriados!$A$2:$A$1048576)</f>
        <v>46339</v>
      </c>
      <c r="AL80">
        <f>+VLOOKUP(A80,[1]CER_implicito!$A:$K,11)</f>
        <v>848.14315807042021</v>
      </c>
      <c r="AM80" s="6">
        <f t="shared" si="21"/>
        <v>1.9636644810782533E-2</v>
      </c>
    </row>
    <row r="81" spans="1:39" x14ac:dyDescent="0.4">
      <c r="A81" s="1">
        <f>+[1]CER_implicito!$A498</f>
        <v>46093</v>
      </c>
      <c r="B81" s="1">
        <v>46096</v>
      </c>
      <c r="C81">
        <f>+VLOOKUP(B81,'Sheet1 (2)'!A:C,3)</f>
        <v>724.53794951432371</v>
      </c>
      <c r="D81" s="1">
        <f t="shared" ref="D81:E81" si="50">+D80</f>
        <v>46112</v>
      </c>
      <c r="E81" s="1">
        <f t="shared" si="50"/>
        <v>46094</v>
      </c>
      <c r="F81">
        <f>+VLOOKUP(A81,[1]CER_implicito!$A:$G,3)</f>
        <v>723.45167001655227</v>
      </c>
      <c r="G81" s="25">
        <f t="shared" ref="G81:G82" si="51">+(F81/C81)^(30/(E81-B81))-1</f>
        <v>2.2761125980739871E-2</v>
      </c>
      <c r="H81" s="1">
        <f t="shared" si="37"/>
        <v>46202</v>
      </c>
      <c r="I81" s="1">
        <f>+WORKDAY.INTL(H81,-10,1,Feriados!$A$2:$A$1048576)</f>
        <v>46184</v>
      </c>
      <c r="J81">
        <f>+VLOOKUP(A81,[1]CER_implicito!$A:$G,4)</f>
        <v>777.21449099362417</v>
      </c>
      <c r="K81" s="6">
        <f t="shared" si="30"/>
        <v>2.4214274765063992E-2</v>
      </c>
      <c r="L81" s="1">
        <f t="shared" si="38"/>
        <v>46324</v>
      </c>
      <c r="M81" s="1">
        <f>+WORKDAY.INTL(L81,-10,1,Feriados!$A$2:$A$1048576)</f>
        <v>46310</v>
      </c>
      <c r="N81">
        <f>+VLOOKUP(A81,[1]CER_implicito!$A:$G,6)</f>
        <v>836.23128530241786</v>
      </c>
      <c r="O81" s="6">
        <f t="shared" si="32"/>
        <v>2.0302091010369949E-2</v>
      </c>
      <c r="P81" s="1">
        <f t="shared" si="39"/>
        <v>46171</v>
      </c>
      <c r="Q81" s="1">
        <f>+WORKDAY.INTL(P81,-10,1,Feriados!$A$2:$A$1048576)</f>
        <v>46156</v>
      </c>
      <c r="R81">
        <f>+VLOOKUP(A81,[1]CER_implicito!$A:$G,7)</f>
        <v>763.21074947710815</v>
      </c>
      <c r="S81" s="6">
        <f t="shared" si="5"/>
        <v>2.6340981372066974E-2</v>
      </c>
      <c r="T81" s="1">
        <f t="shared" ref="T81:U81" si="52">+T80</f>
        <v>46507</v>
      </c>
      <c r="U81" s="1">
        <f t="shared" si="52"/>
        <v>46493</v>
      </c>
      <c r="V81">
        <f>+VLOOKUP(A81,[1]CER_implicito!$A:$G,5)</f>
        <v>902.84390825244293</v>
      </c>
      <c r="W81" s="6">
        <f t="shared" si="34"/>
        <v>1.676483809451601E-2</v>
      </c>
      <c r="X81" s="1"/>
      <c r="Y81" s="1"/>
      <c r="AA81" s="6"/>
      <c r="AB81" s="1">
        <f t="shared" si="18"/>
        <v>46233</v>
      </c>
      <c r="AC81" s="1">
        <f>+WORKDAY.INTL(AB81,-10,1,Feriados!$A$2:$A$1048576)</f>
        <v>46219</v>
      </c>
      <c r="AD81">
        <f>+VLOOKUP(A81,[1]CER_implicito!$A:$I,9)</f>
        <v>795.46617202150435</v>
      </c>
      <c r="AE81" s="6">
        <f t="shared" si="19"/>
        <v>2.3040493001804219E-2</v>
      </c>
      <c r="AF81" s="1"/>
      <c r="AG81" s="1"/>
      <c r="AI81" s="6"/>
      <c r="AJ81" s="1">
        <f t="shared" si="20"/>
        <v>46355</v>
      </c>
      <c r="AK81" s="1">
        <f>+WORKDAY.INTL(AJ81,-10,1,Feriados!$A$2:$A$1048576)</f>
        <v>46339</v>
      </c>
      <c r="AL81">
        <f>+VLOOKUP(A81,[1]CER_implicito!$A:$K,11)</f>
        <v>853.86734430452827</v>
      </c>
      <c r="AM81" s="6">
        <f t="shared" si="21"/>
        <v>2.0483723790412522E-2</v>
      </c>
    </row>
    <row r="82" spans="1:39" x14ac:dyDescent="0.4">
      <c r="A82" s="1">
        <f>+[1]CER_implicito!$A499</f>
        <v>46094</v>
      </c>
      <c r="B82" s="1">
        <f>+MAX('Sheet1 (2)'!A:A)</f>
        <v>46127</v>
      </c>
      <c r="C82">
        <f>+VLOOKUP(B82,'Sheet1 (2)'!A:C,3)</f>
        <v>745.54955005024135</v>
      </c>
      <c r="D82" s="1">
        <f t="shared" ref="D82:E82" si="53">+D81</f>
        <v>46112</v>
      </c>
      <c r="E82" s="1">
        <f t="shared" si="53"/>
        <v>46094</v>
      </c>
      <c r="F82">
        <f>+VLOOKUP(A82,[1]CER_implicito!$A:$G,3)</f>
        <v>724.23293859521436</v>
      </c>
      <c r="G82" s="25">
        <f t="shared" si="51"/>
        <v>2.6722182221568413E-2</v>
      </c>
      <c r="H82" s="1">
        <f t="shared" si="37"/>
        <v>46202</v>
      </c>
      <c r="I82" s="1">
        <f>+WORKDAY.INTL(H82,-10,1,Feriados!$A$2:$A$1048576)</f>
        <v>46184</v>
      </c>
      <c r="J82">
        <f>+VLOOKUP(A82,[1]CER_implicito!$A:$G,4)</f>
        <v>780.56517964660975</v>
      </c>
      <c r="K82" s="6">
        <f t="shared" si="30"/>
        <v>2.4450253935400124E-2</v>
      </c>
      <c r="L82" s="1">
        <f t="shared" si="38"/>
        <v>46324</v>
      </c>
      <c r="M82" s="1">
        <f>+WORKDAY.INTL(L82,-10,1,Feriados!$A$2:$A$1048576)</f>
        <v>46310</v>
      </c>
      <c r="N82">
        <f>+VLOOKUP(A82,[1]CER_implicito!$A:$G,6)</f>
        <v>840.48430878095462</v>
      </c>
      <c r="O82" s="6">
        <f t="shared" si="32"/>
        <v>1.9842942081410797E-2</v>
      </c>
      <c r="P82" s="1">
        <f t="shared" si="39"/>
        <v>46171</v>
      </c>
      <c r="Q82" s="1">
        <f>+WORKDAY.INTL(P82,-10,1,Feriados!$A$2:$A$1048576)</f>
        <v>46156</v>
      </c>
      <c r="R82">
        <f>+VLOOKUP(A82,[1]CER_implicito!$A:$G,7)</f>
        <v>764.14770756229279</v>
      </c>
      <c r="S82" s="6">
        <f t="shared" si="5"/>
        <v>2.5816771636686164E-2</v>
      </c>
      <c r="T82" s="1">
        <f t="shared" ref="T82:U82" si="54">+T81</f>
        <v>46507</v>
      </c>
      <c r="U82" s="1">
        <f t="shared" si="54"/>
        <v>46493</v>
      </c>
      <c r="V82">
        <f>+VLOOKUP(A82,[1]CER_implicito!$A:$G,5)</f>
        <v>911.8537367812429</v>
      </c>
      <c r="W82" s="6">
        <f t="shared" si="34"/>
        <v>1.6641710268700205E-2</v>
      </c>
      <c r="X82" s="1"/>
      <c r="Y82" s="1"/>
      <c r="AA82" s="6"/>
      <c r="AB82" s="1">
        <f t="shared" si="18"/>
        <v>46233</v>
      </c>
      <c r="AC82" s="1">
        <f>+WORKDAY.INTL(AB82,-10,1,Feriados!$A$2:$A$1048576)</f>
        <v>46219</v>
      </c>
      <c r="AD82">
        <f>+VLOOKUP(A82,[1]CER_implicito!$A:$I,9)</f>
        <v>796.46314353562582</v>
      </c>
      <c r="AE82" s="6">
        <f t="shared" si="19"/>
        <v>2.1774745901009585E-2</v>
      </c>
      <c r="AF82" s="1"/>
      <c r="AG82" s="1"/>
      <c r="AI82" s="6"/>
      <c r="AJ82" s="1">
        <f t="shared" si="20"/>
        <v>46355</v>
      </c>
      <c r="AK82" s="1">
        <f>+WORKDAY.INTL(AJ82,-10,1,Feriados!$A$2:$A$1048576)</f>
        <v>46339</v>
      </c>
      <c r="AL82">
        <f>+VLOOKUP(A82,[1]CER_implicito!$A:$K,11)</f>
        <v>854.81388314398384</v>
      </c>
      <c r="AM82" s="6">
        <f t="shared" si="21"/>
        <v>1.9541622786772628E-2</v>
      </c>
    </row>
    <row r="83" spans="1:39" x14ac:dyDescent="0.4">
      <c r="A83" s="1">
        <f>+[1]CER_implicito!$A500</f>
        <v>46097</v>
      </c>
      <c r="B83" s="1">
        <f>+MAX('Sheet1 (2)'!A:A)</f>
        <v>46127</v>
      </c>
      <c r="C83">
        <f>+VLOOKUP(B83,'Sheet1 (2)'!A:C,3)</f>
        <v>745.54955005024135</v>
      </c>
      <c r="D83" s="1">
        <f t="shared" ref="D83:D84" si="55">+D82</f>
        <v>46112</v>
      </c>
      <c r="E83" s="1">
        <f>+E82</f>
        <v>46094</v>
      </c>
      <c r="F83">
        <f>+VLOOKUP(A83,[1]CER_implicito!$A:$G,3)</f>
        <v>723.306139642375</v>
      </c>
      <c r="G83" s="25">
        <f>+(F83/C83)^(30/(E83-B83))-1</f>
        <v>2.7918091841400594E-2</v>
      </c>
      <c r="H83" s="1">
        <f t="shared" si="37"/>
        <v>46202</v>
      </c>
      <c r="I83" s="1">
        <f>+WORKDAY.INTL(H83,-10,1,Feriados!$A$2:$A$1048576)</f>
        <v>46184</v>
      </c>
      <c r="J83">
        <f>+VLOOKUP(A83,[1]CER_implicito!$A:$G,4)</f>
        <v>781.91654324110937</v>
      </c>
      <c r="K83" s="6">
        <f t="shared" si="30"/>
        <v>2.5383341395695203E-2</v>
      </c>
      <c r="L83" s="1">
        <f t="shared" si="38"/>
        <v>46324</v>
      </c>
      <c r="M83" s="1">
        <f>+WORKDAY.INTL(L83,-10,1,Feriados!$A$2:$A$1048576)</f>
        <v>46310</v>
      </c>
      <c r="N83">
        <f>+VLOOKUP(A83,[1]CER_implicito!$A:$G,6)</f>
        <v>845.64459148990659</v>
      </c>
      <c r="O83" s="6">
        <f t="shared" si="32"/>
        <v>2.0866789979764766E-2</v>
      </c>
      <c r="P83" s="1">
        <f t="shared" si="39"/>
        <v>46171</v>
      </c>
      <c r="Q83" s="1">
        <f>+WORKDAY.INTL(P83,-10,1,Feriados!$A$2:$A$1048576)</f>
        <v>46156</v>
      </c>
      <c r="R83">
        <f>+VLOOKUP(A83,[1]CER_implicito!$A:$G,7)</f>
        <v>763.13008722598022</v>
      </c>
      <c r="S83" s="6">
        <f t="shared" si="5"/>
        <v>2.4403610976456047E-2</v>
      </c>
      <c r="T83" s="1">
        <f t="shared" ref="T83:T84" si="56">+T82</f>
        <v>46507</v>
      </c>
      <c r="U83" s="1">
        <f>+U82</f>
        <v>46493</v>
      </c>
      <c r="V83">
        <f>+VLOOKUP(A83,[1]CER_implicito!$A:$G,5)</f>
        <v>918.34320081649412</v>
      </c>
      <c r="W83" s="6">
        <f t="shared" si="34"/>
        <v>1.7232832296208311E-2</v>
      </c>
      <c r="X83" s="1">
        <v>46156</v>
      </c>
      <c r="Y83" s="1">
        <f>+WORKDAY.INTL(X83,-10,1,Feriados!$A$2:$A$1048576)</f>
        <v>46141</v>
      </c>
      <c r="Z83">
        <f>+VLOOKUP(A83,[1]CER_implicito!$A:$H,8)</f>
        <v>755.67249269746685</v>
      </c>
      <c r="AA83" s="6">
        <f>+(Z83/C83)^(30/(Y83-B83))-1</f>
        <v>2.9321232367887973E-2</v>
      </c>
      <c r="AB83" s="1">
        <v>46233</v>
      </c>
      <c r="AC83" s="1">
        <f>+WORKDAY.INTL(AB83,-10,1,Feriados!$A$2:$A$1048576)</f>
        <v>46219</v>
      </c>
      <c r="AD83">
        <f>+VLOOKUP(A83,[1]CER_implicito!$A:$I,9)</f>
        <v>799.90155472540675</v>
      </c>
      <c r="AE83" s="6">
        <f t="shared" si="19"/>
        <v>2.3211061979565129E-2</v>
      </c>
      <c r="AF83" s="1">
        <v>46294</v>
      </c>
      <c r="AG83" s="1">
        <f>+WORKDAY.INTL(AF83,-10,1,Feriados!$A$2:$A$1048576)</f>
        <v>46280</v>
      </c>
      <c r="AH83">
        <f>+VLOOKUP(A83,[1]CER_implicito!$A:$J,10)</f>
        <v>832.6389344394828</v>
      </c>
      <c r="AI83" s="6">
        <f>+(AH83/C83)^(30/(AG83-B83))-1</f>
        <v>2.1898785037622881E-2</v>
      </c>
      <c r="AJ83" s="1">
        <v>46355</v>
      </c>
      <c r="AK83" s="1">
        <f>+WORKDAY.INTL(AJ83,-10,1,Feriados!$A$2:$A$1048576)</f>
        <v>46339</v>
      </c>
      <c r="AL83">
        <f>+VLOOKUP(A83,[1]CER_implicito!$A:$K,11)</f>
        <v>861.63167167225401</v>
      </c>
      <c r="AM83" s="6">
        <f t="shared" si="21"/>
        <v>2.0688403184581761E-2</v>
      </c>
    </row>
    <row r="84" spans="1:39" ht="16" customHeight="1" x14ac:dyDescent="0.4">
      <c r="A84" s="1">
        <f>+[1]CER_implicito!$A501</f>
        <v>46098</v>
      </c>
      <c r="B84" s="1">
        <f>+MAX('Sheet1 (2)'!A:A)</f>
        <v>46127</v>
      </c>
      <c r="C84">
        <f>+VLOOKUP(B84,'Sheet1 (2)'!A:C,3)</f>
        <v>745.54955005024135</v>
      </c>
      <c r="D84" s="1">
        <f t="shared" si="55"/>
        <v>46112</v>
      </c>
      <c r="E84" s="1">
        <f>+E83</f>
        <v>46094</v>
      </c>
      <c r="F84">
        <f>+VLOOKUP(A84,[1]CER_implicito!$A:$G,3)</f>
        <v>723.0858415123372</v>
      </c>
      <c r="G84" s="25">
        <f>+(F84/C84)^(30/(E84-B84))-1</f>
        <v>2.8202787447211719E-2</v>
      </c>
      <c r="H84" s="1">
        <f t="shared" si="37"/>
        <v>46202</v>
      </c>
      <c r="I84" s="1">
        <f>+WORKDAY.INTL(H84,-10,1,Feriados!$A$2:$A$1048576)</f>
        <v>46184</v>
      </c>
      <c r="J84">
        <f>+VLOOKUP(A84,[1]CER_implicito!$A:$G,4)</f>
        <v>781.54582723345186</v>
      </c>
      <c r="K84" s="6">
        <f>+(J84/C84)^(30/(I84-B84))-1</f>
        <v>2.5127446060128289E-2</v>
      </c>
      <c r="L84" s="1">
        <f t="shared" si="38"/>
        <v>46324</v>
      </c>
      <c r="M84" s="1">
        <f>+WORKDAY.INTL(L84,-10,1,Feriados!$A$2:$A$1048576)</f>
        <v>46310</v>
      </c>
      <c r="N84">
        <f>+VLOOKUP(A84,[1]CER_implicito!$A:$G,6)</f>
        <v>846.27158363504293</v>
      </c>
      <c r="O84" s="6">
        <f>+(N84/C84)^(30/(M84-B84))-1</f>
        <v>2.0990834875454389E-2</v>
      </c>
      <c r="P84" s="1">
        <f t="shared" si="39"/>
        <v>46171</v>
      </c>
      <c r="Q84" s="1">
        <f>+WORKDAY.INTL(P84,-10,1,Feriados!$A$2:$A$1048576)</f>
        <v>46156</v>
      </c>
      <c r="R84">
        <f>+VLOOKUP(A84,[1]CER_implicito!$A:$G,7)</f>
        <v>764.61844289639635</v>
      </c>
      <c r="S84" s="6">
        <f>+(R84/C84)^(30/(Q84-B84))-1</f>
        <v>2.6470499728362684E-2</v>
      </c>
      <c r="T84" s="1">
        <f t="shared" si="56"/>
        <v>46507</v>
      </c>
      <c r="U84" s="1">
        <f>+U83</f>
        <v>46493</v>
      </c>
      <c r="V84">
        <f>+VLOOKUP(A84,[1]CER_implicito!$A:$G,5)</f>
        <v>920.9526702051802</v>
      </c>
      <c r="W84" s="6">
        <f>+(V84/C84)^(30/(U84-B84))-1</f>
        <v>1.7469447115403103E-2</v>
      </c>
      <c r="X84" s="1">
        <f>+X83</f>
        <v>46156</v>
      </c>
      <c r="Y84" s="1">
        <f>+WORKDAY.INTL(X84,-10,1,Feriados!$A$2:$A$1048576)</f>
        <v>46141</v>
      </c>
      <c r="Z84">
        <f>+VLOOKUP(A84,[1]CER_implicito!$A:$H,8)</f>
        <v>755.70705293814501</v>
      </c>
      <c r="AA84" s="6">
        <f>+(Z84/C84)^(30/(Y84-B84))-1</f>
        <v>2.942211087454516E-2</v>
      </c>
      <c r="AB84" s="1">
        <f>+AB83</f>
        <v>46233</v>
      </c>
      <c r="AC84" s="1">
        <f>+WORKDAY.INTL(AB84,-10,1,Feriados!$A$2:$A$1048576)</f>
        <v>46219</v>
      </c>
      <c r="AD84">
        <f>+VLOOKUP(A84,[1]CER_implicito!$A:$I,9)</f>
        <v>801.41007313245996</v>
      </c>
      <c r="AE84" s="6">
        <f>+(AD84/C84)^(30/(AC84-B84))-1</f>
        <v>2.3839897337218252E-2</v>
      </c>
      <c r="AF84" s="1">
        <f>+AF83</f>
        <v>46294</v>
      </c>
      <c r="AG84" s="1">
        <f>+WORKDAY.INTL(AF84,-10,1,Feriados!$A$2:$A$1048576)</f>
        <v>46280</v>
      </c>
      <c r="AH84">
        <f>+VLOOKUP(A84,[1]CER_implicito!$A:$J,10)</f>
        <v>831.9144415165224</v>
      </c>
      <c r="AI84" s="6">
        <f>+(AH84/C84)^(30/(AG84-B84))-1</f>
        <v>2.1724376762057629E-2</v>
      </c>
      <c r="AJ84" s="1">
        <f>+AJ83</f>
        <v>46355</v>
      </c>
      <c r="AK84" s="1">
        <f>+WORKDAY.INTL(AJ84,-10,1,Feriados!$A$2:$A$1048576)</f>
        <v>46339</v>
      </c>
      <c r="AL84">
        <f>+VLOOKUP(A84,[1]CER_implicito!$A:$K,11)</f>
        <v>861.4056242905873</v>
      </c>
      <c r="AM84" s="6">
        <f>+(AL84/C84)^(30/(AK84-B84))-1</f>
        <v>2.0650506142613434E-2</v>
      </c>
    </row>
    <row r="85" spans="1:39" s="23" customFormat="1" x14ac:dyDescent="0.4">
      <c r="A85" s="22"/>
      <c r="B85" s="22"/>
      <c r="H85" s="22"/>
      <c r="I85" s="22"/>
      <c r="L85" s="22"/>
      <c r="M85" s="22"/>
    </row>
    <row r="86" spans="1:39" x14ac:dyDescent="0.4">
      <c r="H86" s="1"/>
      <c r="I86" s="1"/>
      <c r="L86" s="1"/>
      <c r="M86" s="1"/>
    </row>
    <row r="87" spans="1:39" x14ac:dyDescent="0.4">
      <c r="H87" s="1"/>
      <c r="I87" s="1" t="s">
        <v>60</v>
      </c>
      <c r="L87" s="1"/>
      <c r="M87" s="1"/>
    </row>
    <row r="88" spans="1:39" x14ac:dyDescent="0.4">
      <c r="H88" s="1"/>
      <c r="I88" s="1" t="s">
        <v>61</v>
      </c>
      <c r="L88" s="1"/>
      <c r="M88" s="1"/>
      <c r="P88" s="1"/>
      <c r="Q88" s="1"/>
      <c r="X88" s="1"/>
      <c r="Y88" s="1"/>
      <c r="AF88" s="1"/>
      <c r="AG88" s="1"/>
    </row>
    <row r="89" spans="1:39" x14ac:dyDescent="0.4">
      <c r="H89" s="1"/>
      <c r="I89" s="1" t="s">
        <v>62</v>
      </c>
      <c r="L89" s="1"/>
      <c r="M89" s="1"/>
    </row>
    <row r="90" spans="1:39" x14ac:dyDescent="0.4">
      <c r="H90" s="1"/>
      <c r="I90" s="1" t="s">
        <v>63</v>
      </c>
      <c r="L90" s="1"/>
      <c r="M90" s="1"/>
    </row>
    <row r="91" spans="1:39" x14ac:dyDescent="0.4">
      <c r="H91" s="1"/>
      <c r="I91" s="1"/>
      <c r="L91" s="1"/>
      <c r="M91" s="1"/>
    </row>
    <row r="92" spans="1:39" x14ac:dyDescent="0.4">
      <c r="H92" s="1"/>
      <c r="I92" s="1"/>
      <c r="L92" s="1"/>
      <c r="M92" s="1"/>
    </row>
    <row r="93" spans="1:39" x14ac:dyDescent="0.4">
      <c r="H93" s="1"/>
      <c r="I93" s="1"/>
      <c r="L93" s="1"/>
      <c r="M93" s="1"/>
    </row>
    <row r="94" spans="1:39" x14ac:dyDescent="0.4">
      <c r="H94" s="1"/>
      <c r="I94" s="1"/>
      <c r="L94" s="1"/>
      <c r="M94" s="1"/>
    </row>
    <row r="95" spans="1:39" x14ac:dyDescent="0.4">
      <c r="H95" s="1"/>
      <c r="I95" s="1"/>
      <c r="L95" s="1"/>
      <c r="M95" s="1"/>
    </row>
    <row r="96" spans="1:39" x14ac:dyDescent="0.4">
      <c r="H96" s="1"/>
      <c r="I96" s="1"/>
      <c r="L96" s="1"/>
      <c r="M96" s="1"/>
    </row>
    <row r="97" spans="8:13" x14ac:dyDescent="0.4">
      <c r="H97" s="1"/>
      <c r="I97" s="1"/>
      <c r="L97" s="1"/>
      <c r="M97" s="1"/>
    </row>
    <row r="98" spans="8:13" x14ac:dyDescent="0.4">
      <c r="H98" s="1"/>
      <c r="I98" s="1"/>
      <c r="L98" s="1"/>
      <c r="M98" s="1"/>
    </row>
    <row r="99" spans="8:13" x14ac:dyDescent="0.4">
      <c r="H99" s="1"/>
      <c r="I99" s="1"/>
      <c r="L99" s="1"/>
      <c r="M99" s="1"/>
    </row>
    <row r="100" spans="8:13" x14ac:dyDescent="0.4">
      <c r="H100" s="1"/>
      <c r="I100" s="1"/>
      <c r="L100" s="1"/>
      <c r="M100" s="1"/>
    </row>
    <row r="101" spans="8:13" x14ac:dyDescent="0.4">
      <c r="H101" s="1"/>
      <c r="I101" s="1"/>
      <c r="L101" s="1"/>
      <c r="M101" s="1"/>
    </row>
    <row r="102" spans="8:13" x14ac:dyDescent="0.4">
      <c r="H102" s="1"/>
      <c r="I102" s="1"/>
      <c r="L102" s="1"/>
      <c r="M102" s="1"/>
    </row>
    <row r="103" spans="8:13" x14ac:dyDescent="0.4">
      <c r="H103" s="1"/>
      <c r="I103" s="1"/>
      <c r="L103" s="1"/>
      <c r="M103" s="1"/>
    </row>
    <row r="104" spans="8:13" x14ac:dyDescent="0.4">
      <c r="H104" s="1"/>
      <c r="I104" s="1"/>
      <c r="L104" s="1"/>
      <c r="M104" s="1"/>
    </row>
    <row r="105" spans="8:13" x14ac:dyDescent="0.4">
      <c r="H105" s="1"/>
      <c r="I105" s="1"/>
      <c r="L105" s="1"/>
      <c r="M105" s="1"/>
    </row>
    <row r="106" spans="8:13" x14ac:dyDescent="0.4">
      <c r="H106" s="1"/>
      <c r="I106" s="1"/>
      <c r="L106" s="1"/>
      <c r="M106" s="1"/>
    </row>
    <row r="107" spans="8:13" x14ac:dyDescent="0.4">
      <c r="H107" s="1"/>
      <c r="I107" s="1"/>
      <c r="L107" s="1"/>
      <c r="M107" s="1"/>
    </row>
    <row r="108" spans="8:13" x14ac:dyDescent="0.4">
      <c r="H108" s="1"/>
      <c r="I108" s="1"/>
      <c r="L108" s="1"/>
      <c r="M108" s="1"/>
    </row>
    <row r="109" spans="8:13" x14ac:dyDescent="0.4">
      <c r="H109" s="1"/>
      <c r="I109" s="1"/>
      <c r="L109" s="1"/>
      <c r="M109" s="1"/>
    </row>
    <row r="110" spans="8:13" x14ac:dyDescent="0.4">
      <c r="H110" s="1"/>
      <c r="I110" s="1"/>
      <c r="L110" s="1"/>
      <c r="M110" s="1"/>
    </row>
    <row r="111" spans="8:13" x14ac:dyDescent="0.4">
      <c r="H111" s="1"/>
      <c r="I111" s="1"/>
      <c r="L111" s="1"/>
      <c r="M111" s="1"/>
    </row>
    <row r="112" spans="8:13" x14ac:dyDescent="0.4">
      <c r="H112" s="1"/>
      <c r="I112" s="1"/>
      <c r="L112" s="1"/>
      <c r="M112" s="1"/>
    </row>
    <row r="113" spans="8:13" x14ac:dyDescent="0.4">
      <c r="H113" s="1"/>
      <c r="I113" s="1"/>
      <c r="L113" s="1"/>
      <c r="M113" s="1"/>
    </row>
    <row r="114" spans="8:13" x14ac:dyDescent="0.4">
      <c r="H114" s="1"/>
      <c r="I114" s="1"/>
      <c r="L114" s="1"/>
      <c r="M114" s="1"/>
    </row>
    <row r="115" spans="8:13" x14ac:dyDescent="0.4">
      <c r="H115" s="1"/>
      <c r="I115" s="1"/>
      <c r="L115" s="1"/>
      <c r="M115" s="1"/>
    </row>
    <row r="116" spans="8:13" x14ac:dyDescent="0.4">
      <c r="H116" s="1"/>
      <c r="I116" s="1"/>
      <c r="L116" s="1"/>
      <c r="M116" s="1"/>
    </row>
    <row r="117" spans="8:13" x14ac:dyDescent="0.4">
      <c r="H117" s="1"/>
      <c r="I117" s="1"/>
      <c r="L117" s="1"/>
      <c r="M117" s="1"/>
    </row>
    <row r="118" spans="8:13" x14ac:dyDescent="0.4">
      <c r="H118" s="1"/>
      <c r="I118" s="1"/>
      <c r="L118" s="1"/>
      <c r="M118" s="1"/>
    </row>
    <row r="119" spans="8:13" x14ac:dyDescent="0.4">
      <c r="H119" s="1"/>
      <c r="I119" s="1"/>
      <c r="L119" s="1"/>
      <c r="M119" s="1"/>
    </row>
    <row r="120" spans="8:13" x14ac:dyDescent="0.4">
      <c r="H120" s="1"/>
      <c r="I120" s="1"/>
      <c r="L120" s="1"/>
      <c r="M120" s="1"/>
    </row>
    <row r="121" spans="8:13" x14ac:dyDescent="0.4">
      <c r="H121" s="1"/>
      <c r="I121" s="1"/>
      <c r="L121" s="1"/>
      <c r="M121" s="1"/>
    </row>
    <row r="122" spans="8:13" x14ac:dyDescent="0.4">
      <c r="H122" s="1"/>
      <c r="I122" s="1"/>
      <c r="L122" s="1"/>
      <c r="M122" s="1"/>
    </row>
    <row r="123" spans="8:13" x14ac:dyDescent="0.4">
      <c r="H123" s="1"/>
      <c r="I123" s="1"/>
      <c r="L123" s="1"/>
      <c r="M123" s="1"/>
    </row>
    <row r="124" spans="8:13" x14ac:dyDescent="0.4">
      <c r="H124" s="1"/>
      <c r="I124" s="1"/>
      <c r="L124" s="1"/>
      <c r="M124" s="1"/>
    </row>
    <row r="125" spans="8:13" x14ac:dyDescent="0.4">
      <c r="H125" s="1"/>
      <c r="I125" s="1"/>
      <c r="L125" s="1"/>
      <c r="M125" s="1"/>
    </row>
    <row r="126" spans="8:13" x14ac:dyDescent="0.4">
      <c r="H126" s="1"/>
      <c r="I126" s="1"/>
      <c r="L126" s="1"/>
      <c r="M126" s="1"/>
    </row>
    <row r="127" spans="8:13" x14ac:dyDescent="0.4">
      <c r="H127" s="1"/>
      <c r="I127" s="1"/>
      <c r="L127" s="1"/>
      <c r="M127" s="1"/>
    </row>
    <row r="128" spans="8:13" x14ac:dyDescent="0.4">
      <c r="H128" s="1"/>
      <c r="I128" s="1"/>
      <c r="L128" s="1"/>
      <c r="M128" s="1"/>
    </row>
    <row r="129" spans="8:13" x14ac:dyDescent="0.4">
      <c r="H129" s="1"/>
      <c r="I129" s="1"/>
      <c r="L129" s="1"/>
      <c r="M129" s="1"/>
    </row>
    <row r="130" spans="8:13" x14ac:dyDescent="0.4">
      <c r="H130" s="1"/>
      <c r="I130" s="1"/>
      <c r="L130" s="1"/>
      <c r="M130" s="1"/>
    </row>
    <row r="131" spans="8:13" x14ac:dyDescent="0.4">
      <c r="H131" s="1"/>
      <c r="I131" s="1"/>
      <c r="L131" s="1"/>
      <c r="M131" s="1"/>
    </row>
    <row r="132" spans="8:13" x14ac:dyDescent="0.4">
      <c r="H132" s="1"/>
      <c r="I132" s="1"/>
      <c r="L132" s="1"/>
      <c r="M132" s="1"/>
    </row>
    <row r="133" spans="8:13" x14ac:dyDescent="0.4">
      <c r="H133" s="1"/>
      <c r="I133" s="1"/>
      <c r="L133" s="1"/>
      <c r="M133" s="1"/>
    </row>
    <row r="134" spans="8:13" x14ac:dyDescent="0.4">
      <c r="H134" s="1"/>
      <c r="I134" s="1"/>
      <c r="L134" s="1"/>
      <c r="M134" s="1"/>
    </row>
    <row r="135" spans="8:13" x14ac:dyDescent="0.4">
      <c r="H135" s="1"/>
      <c r="I135" s="1"/>
      <c r="L135" s="1"/>
      <c r="M135" s="1"/>
    </row>
    <row r="136" spans="8:13" x14ac:dyDescent="0.4">
      <c r="H136" s="1"/>
      <c r="I136" s="1"/>
      <c r="L136" s="1"/>
      <c r="M136" s="1"/>
    </row>
    <row r="137" spans="8:13" x14ac:dyDescent="0.4">
      <c r="H137" s="1"/>
      <c r="I137" s="1"/>
      <c r="L137" s="1"/>
      <c r="M137" s="1"/>
    </row>
    <row r="138" spans="8:13" x14ac:dyDescent="0.4">
      <c r="H138" s="1"/>
      <c r="I138" s="1"/>
      <c r="L138" s="1"/>
      <c r="M138" s="1"/>
    </row>
    <row r="139" spans="8:13" x14ac:dyDescent="0.4">
      <c r="H139" s="1"/>
      <c r="I139" s="1"/>
      <c r="L139" s="1"/>
      <c r="M139" s="1"/>
    </row>
    <row r="140" spans="8:13" x14ac:dyDescent="0.4">
      <c r="H140" s="1"/>
      <c r="I140" s="1"/>
      <c r="L140" s="1"/>
      <c r="M140" s="1"/>
    </row>
    <row r="141" spans="8:13" x14ac:dyDescent="0.4">
      <c r="H141" s="1"/>
      <c r="I141" s="1"/>
      <c r="L141" s="1"/>
      <c r="M141" s="1"/>
    </row>
    <row r="142" spans="8:13" x14ac:dyDescent="0.4">
      <c r="H142" s="1"/>
      <c r="I142" s="1"/>
      <c r="L142" s="1"/>
      <c r="M142" s="1"/>
    </row>
    <row r="143" spans="8:13" x14ac:dyDescent="0.4">
      <c r="H143" s="1"/>
      <c r="I143" s="1"/>
      <c r="L143" s="1"/>
      <c r="M143" s="1"/>
    </row>
    <row r="144" spans="8:13" x14ac:dyDescent="0.4">
      <c r="H144" s="1"/>
      <c r="I144" s="1"/>
      <c r="L144" s="1"/>
      <c r="M144" s="1"/>
    </row>
    <row r="145" spans="8:13" x14ac:dyDescent="0.4">
      <c r="H145" s="1"/>
      <c r="I145" s="1"/>
      <c r="L145" s="1"/>
      <c r="M145" s="1"/>
    </row>
    <row r="146" spans="8:13" x14ac:dyDescent="0.4">
      <c r="H146" s="1"/>
      <c r="I146" s="1"/>
      <c r="L146" s="1"/>
      <c r="M146" s="1"/>
    </row>
    <row r="147" spans="8:13" x14ac:dyDescent="0.4">
      <c r="H147" s="1"/>
      <c r="I147" s="1"/>
      <c r="L147" s="1"/>
      <c r="M147" s="1"/>
    </row>
    <row r="148" spans="8:13" x14ac:dyDescent="0.4">
      <c r="H148" s="1"/>
      <c r="I148" s="1"/>
      <c r="L148" s="1"/>
      <c r="M148" s="1"/>
    </row>
    <row r="149" spans="8:13" x14ac:dyDescent="0.4">
      <c r="H149" s="1"/>
      <c r="I149" s="1"/>
      <c r="L149" s="1"/>
      <c r="M149" s="1"/>
    </row>
    <row r="150" spans="8:13" x14ac:dyDescent="0.4">
      <c r="H150" s="1"/>
      <c r="I150" s="1"/>
      <c r="L150" s="1"/>
      <c r="M150" s="1"/>
    </row>
    <row r="151" spans="8:13" x14ac:dyDescent="0.4">
      <c r="H151" s="1"/>
      <c r="I151" s="1"/>
      <c r="L151" s="1"/>
      <c r="M151" s="1"/>
    </row>
    <row r="152" spans="8:13" x14ac:dyDescent="0.4">
      <c r="H152" s="1"/>
      <c r="I152" s="1"/>
      <c r="L152" s="1"/>
      <c r="M152" s="1"/>
    </row>
    <row r="153" spans="8:13" x14ac:dyDescent="0.4">
      <c r="H153" s="1"/>
      <c r="I153" s="1"/>
      <c r="L153" s="1"/>
      <c r="M153" s="1"/>
    </row>
    <row r="154" spans="8:13" x14ac:dyDescent="0.4">
      <c r="H154" s="1"/>
      <c r="I154" s="1"/>
      <c r="L154" s="1"/>
      <c r="M154" s="1"/>
    </row>
    <row r="155" spans="8:13" x14ac:dyDescent="0.4">
      <c r="H155" s="1"/>
      <c r="I155" s="1"/>
      <c r="L155" s="1"/>
      <c r="M155" s="1"/>
    </row>
    <row r="156" spans="8:13" x14ac:dyDescent="0.4">
      <c r="H156" s="1"/>
      <c r="I156" s="1"/>
      <c r="L156" s="1"/>
      <c r="M156" s="1"/>
    </row>
    <row r="157" spans="8:13" x14ac:dyDescent="0.4">
      <c r="H157" s="1"/>
      <c r="I157" s="1"/>
      <c r="L157" s="1"/>
      <c r="M157" s="1"/>
    </row>
    <row r="158" spans="8:13" x14ac:dyDescent="0.4">
      <c r="H158" s="1"/>
      <c r="I158" s="1"/>
      <c r="L158" s="1"/>
      <c r="M158" s="1"/>
    </row>
    <row r="159" spans="8:13" x14ac:dyDescent="0.4">
      <c r="H159" s="1"/>
      <c r="I159" s="1"/>
      <c r="L159" s="1"/>
      <c r="M159" s="1"/>
    </row>
    <row r="160" spans="8:13" x14ac:dyDescent="0.4">
      <c r="H160" s="1"/>
      <c r="I160" s="1"/>
      <c r="L160" s="1"/>
      <c r="M160" s="1"/>
    </row>
    <row r="161" spans="8:13" x14ac:dyDescent="0.4">
      <c r="H161" s="1"/>
      <c r="I161" s="1"/>
      <c r="L161" s="1"/>
      <c r="M161" s="1"/>
    </row>
    <row r="162" spans="8:13" x14ac:dyDescent="0.4">
      <c r="H162" s="1"/>
      <c r="I162" s="1"/>
      <c r="L162" s="1"/>
      <c r="M162" s="1"/>
    </row>
    <row r="163" spans="8:13" x14ac:dyDescent="0.4">
      <c r="H163" s="1"/>
      <c r="I163" s="1"/>
      <c r="L163" s="1"/>
      <c r="M163" s="1"/>
    </row>
    <row r="164" spans="8:13" x14ac:dyDescent="0.4">
      <c r="H164" s="1"/>
      <c r="I164" s="1"/>
      <c r="L164" s="1"/>
      <c r="M164" s="1"/>
    </row>
    <row r="165" spans="8:13" x14ac:dyDescent="0.4">
      <c r="H165" s="1"/>
      <c r="I165" s="1"/>
      <c r="L165" s="1"/>
      <c r="M165" s="1"/>
    </row>
    <row r="166" spans="8:13" x14ac:dyDescent="0.4">
      <c r="H166" s="1"/>
      <c r="I166" s="1"/>
      <c r="L166" s="1"/>
      <c r="M166" s="1"/>
    </row>
    <row r="167" spans="8:13" x14ac:dyDescent="0.4">
      <c r="H167" s="1"/>
      <c r="I167" s="1"/>
      <c r="L167" s="1"/>
      <c r="M167" s="1"/>
    </row>
    <row r="168" spans="8:13" x14ac:dyDescent="0.4">
      <c r="H168" s="1"/>
      <c r="I168" s="1"/>
      <c r="L168" s="1"/>
      <c r="M168" s="1"/>
    </row>
    <row r="169" spans="8:13" x14ac:dyDescent="0.4">
      <c r="H169" s="1"/>
      <c r="I169" s="1"/>
      <c r="L169" s="1"/>
      <c r="M169" s="1"/>
    </row>
    <row r="170" spans="8:13" x14ac:dyDescent="0.4">
      <c r="H170" s="1"/>
      <c r="I170" s="1"/>
      <c r="L170" s="1"/>
      <c r="M170" s="1"/>
    </row>
    <row r="171" spans="8:13" x14ac:dyDescent="0.4">
      <c r="H171" s="1"/>
      <c r="I171" s="1"/>
      <c r="L171" s="1"/>
      <c r="M171" s="1"/>
    </row>
    <row r="172" spans="8:13" x14ac:dyDescent="0.4">
      <c r="H172" s="1"/>
      <c r="I172" s="1"/>
      <c r="L172" s="1"/>
      <c r="M172" s="1"/>
    </row>
    <row r="173" spans="8:13" x14ac:dyDescent="0.4">
      <c r="H173" s="1"/>
      <c r="I173" s="1"/>
      <c r="L173" s="1"/>
      <c r="M173" s="1"/>
    </row>
    <row r="174" spans="8:13" x14ac:dyDescent="0.4">
      <c r="H174" s="1"/>
      <c r="I174" s="1"/>
      <c r="L174" s="1"/>
      <c r="M174" s="1"/>
    </row>
    <row r="175" spans="8:13" x14ac:dyDescent="0.4">
      <c r="H175" s="1"/>
      <c r="I175" s="1"/>
      <c r="L175" s="1"/>
      <c r="M175" s="1"/>
    </row>
    <row r="176" spans="8:13" x14ac:dyDescent="0.4">
      <c r="H176" s="1"/>
      <c r="I176" s="1"/>
      <c r="L176" s="1"/>
      <c r="M176" s="1"/>
    </row>
    <row r="177" spans="8:13" x14ac:dyDescent="0.4">
      <c r="H177" s="1"/>
      <c r="I177" s="1"/>
      <c r="L177" s="1"/>
      <c r="M177" s="1"/>
    </row>
    <row r="178" spans="8:13" x14ac:dyDescent="0.4">
      <c r="H178" s="1"/>
      <c r="I178" s="1"/>
      <c r="L178" s="1"/>
      <c r="M178" s="1"/>
    </row>
    <row r="179" spans="8:13" x14ac:dyDescent="0.4">
      <c r="H179" s="1"/>
      <c r="I179" s="1"/>
      <c r="L179" s="1"/>
      <c r="M179" s="1"/>
    </row>
    <row r="180" spans="8:13" x14ac:dyDescent="0.4">
      <c r="H180" s="1"/>
      <c r="I180" s="1"/>
      <c r="L180" s="1"/>
      <c r="M180" s="1"/>
    </row>
    <row r="181" spans="8:13" x14ac:dyDescent="0.4">
      <c r="H181" s="1"/>
      <c r="I181" s="1"/>
      <c r="L181" s="1"/>
      <c r="M181" s="1"/>
    </row>
    <row r="182" spans="8:13" x14ac:dyDescent="0.4">
      <c r="H182" s="1"/>
      <c r="I182" s="1"/>
      <c r="L182" s="1"/>
      <c r="M182" s="1"/>
    </row>
    <row r="183" spans="8:13" x14ac:dyDescent="0.4">
      <c r="H183" s="1"/>
      <c r="I183" s="1"/>
      <c r="L183" s="1"/>
      <c r="M183" s="1"/>
    </row>
    <row r="184" spans="8:13" x14ac:dyDescent="0.4">
      <c r="H184" s="1"/>
      <c r="I184" s="1"/>
      <c r="L184" s="1"/>
      <c r="M184" s="1"/>
    </row>
    <row r="185" spans="8:13" x14ac:dyDescent="0.4">
      <c r="H185" s="1"/>
      <c r="I185" s="1"/>
      <c r="L185" s="1"/>
      <c r="M185" s="1"/>
    </row>
    <row r="186" spans="8:13" x14ac:dyDescent="0.4">
      <c r="H186" s="1"/>
      <c r="I186" s="1"/>
      <c r="L186" s="1"/>
      <c r="M186" s="1"/>
    </row>
    <row r="187" spans="8:13" x14ac:dyDescent="0.4">
      <c r="H187" s="1"/>
      <c r="I187" s="1"/>
      <c r="L187" s="1"/>
      <c r="M187" s="1"/>
    </row>
    <row r="188" spans="8:13" x14ac:dyDescent="0.4">
      <c r="H188" s="1"/>
      <c r="I188" s="1"/>
      <c r="L188" s="1"/>
      <c r="M188" s="1"/>
    </row>
    <row r="189" spans="8:13" x14ac:dyDescent="0.4">
      <c r="H189" s="1"/>
      <c r="I189" s="1"/>
      <c r="L189" s="1"/>
      <c r="M189" s="1"/>
    </row>
    <row r="190" spans="8:13" x14ac:dyDescent="0.4">
      <c r="H190" s="1"/>
      <c r="I190" s="1"/>
      <c r="L190" s="1"/>
      <c r="M190" s="1"/>
    </row>
    <row r="191" spans="8:13" x14ac:dyDescent="0.4">
      <c r="H191" s="1"/>
      <c r="I191" s="1"/>
      <c r="L191" s="1"/>
      <c r="M191" s="1"/>
    </row>
    <row r="192" spans="8:13" x14ac:dyDescent="0.4">
      <c r="H192" s="1"/>
      <c r="I192" s="1"/>
      <c r="L192" s="1"/>
      <c r="M192" s="1"/>
    </row>
    <row r="193" spans="8:13" x14ac:dyDescent="0.4">
      <c r="H193" s="1"/>
      <c r="I193" s="1"/>
      <c r="L193" s="1"/>
      <c r="M193" s="1"/>
    </row>
    <row r="194" spans="8:13" x14ac:dyDescent="0.4">
      <c r="H194" s="1"/>
      <c r="I194" s="1"/>
      <c r="L194" s="1"/>
      <c r="M194" s="1"/>
    </row>
    <row r="195" spans="8:13" x14ac:dyDescent="0.4">
      <c r="H195" s="1"/>
      <c r="I195" s="1"/>
      <c r="L195" s="1"/>
      <c r="M195" s="1"/>
    </row>
    <row r="196" spans="8:13" x14ac:dyDescent="0.4">
      <c r="H196" s="1"/>
      <c r="I196" s="1"/>
      <c r="L196" s="1"/>
      <c r="M196" s="1"/>
    </row>
    <row r="197" spans="8:13" x14ac:dyDescent="0.4">
      <c r="H197" s="1"/>
      <c r="I197" s="1"/>
      <c r="L197" s="1"/>
      <c r="M197" s="1"/>
    </row>
    <row r="198" spans="8:13" x14ac:dyDescent="0.4">
      <c r="H198" s="1"/>
      <c r="I198" s="1"/>
      <c r="L198" s="1"/>
      <c r="M198" s="1"/>
    </row>
    <row r="199" spans="8:13" x14ac:dyDescent="0.4">
      <c r="H199" s="1"/>
      <c r="I199" s="1"/>
      <c r="L199" s="1"/>
      <c r="M199" s="1"/>
    </row>
    <row r="200" spans="8:13" x14ac:dyDescent="0.4">
      <c r="H200" s="1"/>
      <c r="I200" s="1"/>
      <c r="L200" s="1"/>
      <c r="M200" s="1"/>
    </row>
    <row r="201" spans="8:13" x14ac:dyDescent="0.4">
      <c r="H201" s="1"/>
      <c r="I201" s="1"/>
      <c r="L201" s="1"/>
      <c r="M201" s="1"/>
    </row>
    <row r="202" spans="8:13" x14ac:dyDescent="0.4">
      <c r="H202" s="1"/>
      <c r="I202" s="1"/>
      <c r="L202" s="1"/>
      <c r="M202" s="1"/>
    </row>
    <row r="203" spans="8:13" x14ac:dyDescent="0.4">
      <c r="H203" s="1"/>
      <c r="I203" s="1"/>
      <c r="L203" s="1"/>
      <c r="M203" s="1"/>
    </row>
    <row r="204" spans="8:13" x14ac:dyDescent="0.4">
      <c r="H204" s="1"/>
      <c r="I204" s="1"/>
      <c r="L204" s="1"/>
      <c r="M204" s="1"/>
    </row>
    <row r="205" spans="8:13" x14ac:dyDescent="0.4">
      <c r="H205" s="1"/>
      <c r="I205" s="1"/>
      <c r="L205" s="1"/>
      <c r="M205" s="1"/>
    </row>
    <row r="206" spans="8:13" x14ac:dyDescent="0.4">
      <c r="H206" s="1"/>
      <c r="I206" s="1"/>
      <c r="L206" s="1"/>
      <c r="M206" s="1"/>
    </row>
    <row r="207" spans="8:13" x14ac:dyDescent="0.4">
      <c r="H207" s="1"/>
      <c r="I207" s="1"/>
      <c r="L207" s="1"/>
      <c r="M207" s="1"/>
    </row>
    <row r="208" spans="8:13" x14ac:dyDescent="0.4">
      <c r="H208" s="1"/>
      <c r="I208" s="1"/>
      <c r="L208" s="1"/>
      <c r="M208" s="1"/>
    </row>
    <row r="209" spans="8:13" x14ac:dyDescent="0.4">
      <c r="H209" s="1"/>
      <c r="I209" s="1"/>
      <c r="L209" s="1"/>
      <c r="M209" s="1"/>
    </row>
    <row r="210" spans="8:13" x14ac:dyDescent="0.4">
      <c r="H210" s="1"/>
      <c r="I210" s="1"/>
      <c r="L210" s="1"/>
      <c r="M210" s="1"/>
    </row>
    <row r="211" spans="8:13" x14ac:dyDescent="0.4">
      <c r="H211" s="1"/>
      <c r="I211" s="1"/>
      <c r="L211" s="1"/>
      <c r="M211" s="1"/>
    </row>
    <row r="212" spans="8:13" x14ac:dyDescent="0.4">
      <c r="H212" s="1"/>
      <c r="I212" s="1"/>
      <c r="L212" s="1"/>
      <c r="M212" s="1"/>
    </row>
    <row r="213" spans="8:13" x14ac:dyDescent="0.4">
      <c r="H213" s="1"/>
      <c r="I213" s="1"/>
      <c r="L213" s="1"/>
      <c r="M213" s="1"/>
    </row>
    <row r="214" spans="8:13" x14ac:dyDescent="0.4">
      <c r="H214" s="1"/>
      <c r="I214" s="1"/>
      <c r="L214" s="1"/>
      <c r="M214" s="1"/>
    </row>
  </sheetData>
  <mergeCells count="9">
    <mergeCell ref="AJ1:AM1"/>
    <mergeCell ref="H1:K1"/>
    <mergeCell ref="L1:O1"/>
    <mergeCell ref="P1:S1"/>
    <mergeCell ref="D1:G1"/>
    <mergeCell ref="T1:W1"/>
    <mergeCell ref="X1:AA1"/>
    <mergeCell ref="AB1:AE1"/>
    <mergeCell ref="AF1:A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E7083-2472-4863-A8F4-AB487DD9DA79}">
  <dimension ref="A1:P52"/>
  <sheetViews>
    <sheetView topLeftCell="A43" workbookViewId="0">
      <selection activeCell="D60" sqref="D60"/>
    </sheetView>
  </sheetViews>
  <sheetFormatPr baseColWidth="10" defaultRowHeight="15" x14ac:dyDescent="0.4"/>
  <cols>
    <col min="5" max="6" width="12.75" bestFit="1" customWidth="1"/>
    <col min="16" max="16" width="13" bestFit="1" customWidth="1"/>
  </cols>
  <sheetData>
    <row r="1" spans="1:16" x14ac:dyDescent="0.4">
      <c r="A1" s="9" t="s">
        <v>8</v>
      </c>
      <c r="B1" s="31">
        <v>45992</v>
      </c>
      <c r="C1" s="12">
        <v>46023</v>
      </c>
      <c r="D1" s="12">
        <v>46054</v>
      </c>
      <c r="E1" s="12">
        <v>46082</v>
      </c>
      <c r="F1" s="12">
        <v>46113</v>
      </c>
      <c r="G1" s="12">
        <v>46143</v>
      </c>
      <c r="H1" s="12">
        <v>46174</v>
      </c>
      <c r="I1" s="12">
        <v>46204</v>
      </c>
      <c r="J1" s="12">
        <v>46235</v>
      </c>
      <c r="K1" s="12">
        <v>46266</v>
      </c>
      <c r="L1" s="12">
        <v>46296</v>
      </c>
      <c r="M1" s="12">
        <v>46327</v>
      </c>
      <c r="N1" s="12">
        <v>46357</v>
      </c>
      <c r="O1" s="12">
        <v>46388</v>
      </c>
      <c r="P1" s="12" t="s">
        <v>58</v>
      </c>
    </row>
    <row r="2" spans="1:16" x14ac:dyDescent="0.4">
      <c r="A2" s="32">
        <f>+'Inflación BE'!A31</f>
        <v>46017</v>
      </c>
      <c r="B2" s="33">
        <f>+VLOOKUP(A2,'Inflación BE'!A:G,7)</f>
        <v>2.4101568712653787E-2</v>
      </c>
      <c r="C2" s="30">
        <f>+VLOOKUP(A2,'Inflación BE'!A:G,7)</f>
        <v>2.4101568712653787E-2</v>
      </c>
      <c r="D2" s="30">
        <f>+VLOOKUP(A2,'Inflación BE'!A:S,19)</f>
        <v>2.187472080327546E-2</v>
      </c>
      <c r="E2" s="30">
        <f t="shared" ref="E2:E51" si="0">+D2</f>
        <v>2.187472080327546E-2</v>
      </c>
      <c r="F2" s="30">
        <f>+((((1+VLOOKUP(A2,'Inflación BE'!A:K,11))^3)/((1+E2)^2))^(1/1))-1</f>
        <v>1.9705389544177443E-2</v>
      </c>
      <c r="G2" s="30">
        <f>+((((1+VLOOKUP(A2,'Inflación BE'!A:O,15))^7)/((1+VLOOKUP(A2,'Inflación BE'!A:K,11))^3))^(1/4))-1</f>
        <v>1.4698542623606592E-2</v>
      </c>
      <c r="H2" s="30">
        <f t="shared" ref="H2:H50" si="1">+G2</f>
        <v>1.4698542623606592E-2</v>
      </c>
      <c r="I2" s="30">
        <f t="shared" ref="I2:I50" si="2">+H2</f>
        <v>1.4698542623606592E-2</v>
      </c>
      <c r="J2" s="30">
        <f t="shared" ref="J2:J50" si="3">+I2</f>
        <v>1.4698542623606592E-2</v>
      </c>
      <c r="K2" s="30">
        <f>+((((1+VLOOKUP(A2,'Inflación BE'!A:W,23))^12)/((1+VLOOKUP(A2,'Inflación BE'!A:O,15))^7))^(1/5))-1</f>
        <v>1.4672540217506302E-2</v>
      </c>
      <c r="L2" s="30">
        <f t="shared" ref="L2:L50" si="4">+K2</f>
        <v>1.4672540217506302E-2</v>
      </c>
      <c r="M2" s="30">
        <f t="shared" ref="M2:M50" si="5">+L2</f>
        <v>1.4672540217506302E-2</v>
      </c>
      <c r="N2" s="30">
        <f t="shared" ref="N2:N50" si="6">+M2</f>
        <v>1.4672540217506302E-2</v>
      </c>
      <c r="O2" s="30">
        <f t="shared" ref="O2:O50" si="7">+N2</f>
        <v>1.4672540217506302E-2</v>
      </c>
      <c r="P2" s="30">
        <f t="shared" ref="P2:P38" si="8">+((1+C2)*(1+D2)*(1+E2)*(1+F2)*(1+G2)*(1+H2)*(1+I2)*(1+J2)*(1+K2)*(1+L2)*(1+M2)*(1+N2))-1</f>
        <v>0.22536319953867912</v>
      </c>
    </row>
    <row r="3" spans="1:16" x14ac:dyDescent="0.4">
      <c r="A3" s="32">
        <f>+'Inflación BE'!A32</f>
        <v>46020</v>
      </c>
      <c r="B3" s="33">
        <f>+VLOOKUP(A3,'Inflación BE'!A:G,7)</f>
        <v>2.1997683740431428E-2</v>
      </c>
      <c r="C3" s="30">
        <f>+VLOOKUP(A3,'Inflación BE'!A:G,7)</f>
        <v>2.1997683740431428E-2</v>
      </c>
      <c r="D3" s="30">
        <f>+VLOOKUP(A3,'Inflación BE'!A:S,19)</f>
        <v>2.0962703628327528E-2</v>
      </c>
      <c r="E3" s="30">
        <f t="shared" si="0"/>
        <v>2.0962703628327528E-2</v>
      </c>
      <c r="F3" s="30">
        <f>+((((1+VLOOKUP(A3,'Inflación BE'!A:K,11))^3)/((1+E3)^2))^(1/1))-1</f>
        <v>1.8464219393236503E-2</v>
      </c>
      <c r="G3" s="30">
        <f>+((((1+VLOOKUP(A3,'Inflación BE'!A:O,15))^7)/((1+VLOOKUP(A3,'Inflación BE'!A:K,11))^3))^(1/4))-1</f>
        <v>1.4937755845284117E-2</v>
      </c>
      <c r="H3" s="30">
        <f t="shared" si="1"/>
        <v>1.4937755845284117E-2</v>
      </c>
      <c r="I3" s="30">
        <f t="shared" si="2"/>
        <v>1.4937755845284117E-2</v>
      </c>
      <c r="J3" s="30">
        <f t="shared" si="3"/>
        <v>1.4937755845284117E-2</v>
      </c>
      <c r="K3" s="30">
        <f>+((((1+VLOOKUP(A3,'Inflación BE'!A:W,23))^12)/((1+VLOOKUP(A3,'Inflación BE'!A:O,15))^7))^(1/5))-1</f>
        <v>1.6058689548026361E-2</v>
      </c>
      <c r="L3" s="30">
        <f t="shared" si="4"/>
        <v>1.6058689548026361E-2</v>
      </c>
      <c r="M3" s="30">
        <f t="shared" si="5"/>
        <v>1.6058689548026361E-2</v>
      </c>
      <c r="N3" s="30">
        <f t="shared" si="6"/>
        <v>1.6058689548026361E-2</v>
      </c>
      <c r="O3" s="30">
        <f t="shared" si="7"/>
        <v>1.6058689548026361E-2</v>
      </c>
      <c r="P3" s="30">
        <f t="shared" si="8"/>
        <v>0.22701042954734207</v>
      </c>
    </row>
    <row r="4" spans="1:16" x14ac:dyDescent="0.4">
      <c r="A4" s="32">
        <f>+'Inflación BE'!A33</f>
        <v>46021</v>
      </c>
      <c r="B4" s="33">
        <f>+VLOOKUP(A4,'Inflación BE'!A:G,7)</f>
        <v>2.4172050200907069E-2</v>
      </c>
      <c r="C4" s="30">
        <f>+VLOOKUP(A4,'Inflación BE'!A:G,7)</f>
        <v>2.4172050200907069E-2</v>
      </c>
      <c r="D4" s="30">
        <f>+VLOOKUP(A4,'Inflación BE'!A:S,19)</f>
        <v>2.1909685664585954E-2</v>
      </c>
      <c r="E4" s="30">
        <f t="shared" si="0"/>
        <v>2.1909685664585954E-2</v>
      </c>
      <c r="F4" s="30">
        <f>+((((1+VLOOKUP(A4,'Inflación BE'!A:K,11))^3)/((1+E4)^2))^(1/1))-1</f>
        <v>1.8486988699000007E-2</v>
      </c>
      <c r="G4" s="30">
        <f>+((((1+VLOOKUP(A4,'Inflación BE'!A:O,15))^7)/((1+VLOOKUP(A4,'Inflación BE'!A:K,11))^3))^(1/4))-1</f>
        <v>1.3481777319207744E-2</v>
      </c>
      <c r="H4" s="30">
        <f t="shared" si="1"/>
        <v>1.3481777319207744E-2</v>
      </c>
      <c r="I4" s="30">
        <f t="shared" si="2"/>
        <v>1.3481777319207744E-2</v>
      </c>
      <c r="J4" s="30">
        <f t="shared" si="3"/>
        <v>1.3481777319207744E-2</v>
      </c>
      <c r="K4" s="30">
        <f>+((((1+VLOOKUP(A4,'Inflación BE'!A:W,23))^12)/((1+VLOOKUP(A4,'Inflación BE'!A:O,15))^7))^(1/5))-1</f>
        <v>1.5779263644711383E-2</v>
      </c>
      <c r="L4" s="30">
        <f t="shared" si="4"/>
        <v>1.5779263644711383E-2</v>
      </c>
      <c r="M4" s="30">
        <f t="shared" si="5"/>
        <v>1.5779263644711383E-2</v>
      </c>
      <c r="N4" s="30">
        <f t="shared" si="6"/>
        <v>1.5779263644711383E-2</v>
      </c>
      <c r="O4" s="30">
        <f t="shared" si="7"/>
        <v>1.5779263644711383E-2</v>
      </c>
      <c r="P4" s="30">
        <f t="shared" si="8"/>
        <v>0.22352989293360115</v>
      </c>
    </row>
    <row r="5" spans="1:16" x14ac:dyDescent="0.4">
      <c r="A5" s="32">
        <f>+'Inflación BE'!A34</f>
        <v>46024</v>
      </c>
      <c r="B5" s="33">
        <f>+VLOOKUP(A5,'Inflación BE'!A:G,7)</f>
        <v>2.3016051041682584E-2</v>
      </c>
      <c r="C5" s="30">
        <f>+VLOOKUP(A5,'Inflación BE'!A:G,7)</f>
        <v>2.3016051041682584E-2</v>
      </c>
      <c r="D5" s="30">
        <f>+VLOOKUP(A5,'Inflación BE'!A:S,19)</f>
        <v>2.1642053969822772E-2</v>
      </c>
      <c r="E5" s="30">
        <f t="shared" si="0"/>
        <v>2.1642053969822772E-2</v>
      </c>
      <c r="F5" s="30">
        <f>+((((1+VLOOKUP(A5,'Inflación BE'!A:K,11))^3)/((1+E5)^2))^(1/1))-1</f>
        <v>1.8145766617245318E-2</v>
      </c>
      <c r="G5" s="30">
        <f>+((((1+VLOOKUP(A5,'Inflación BE'!A:O,15))^7)/((1+VLOOKUP(A5,'Inflación BE'!A:K,11))^3))^(1/4))-1</f>
        <v>1.5339318147077119E-2</v>
      </c>
      <c r="H5" s="30">
        <f t="shared" si="1"/>
        <v>1.5339318147077119E-2</v>
      </c>
      <c r="I5" s="30">
        <f t="shared" si="2"/>
        <v>1.5339318147077119E-2</v>
      </c>
      <c r="J5" s="30">
        <f t="shared" si="3"/>
        <v>1.5339318147077119E-2</v>
      </c>
      <c r="K5" s="30">
        <f>+((((1+VLOOKUP(A5,'Inflación BE'!A:W,23))^12)/((1+VLOOKUP(A5,'Inflación BE'!A:O,15))^7))^(1/5))-1</f>
        <v>1.6293935767679457E-2</v>
      </c>
      <c r="L5" s="30">
        <f t="shared" si="4"/>
        <v>1.6293935767679457E-2</v>
      </c>
      <c r="M5" s="30">
        <f t="shared" si="5"/>
        <v>1.6293935767679457E-2</v>
      </c>
      <c r="N5" s="30">
        <f t="shared" si="6"/>
        <v>1.6293935767679457E-2</v>
      </c>
      <c r="O5" s="30">
        <f t="shared" si="7"/>
        <v>1.6293935767679457E-2</v>
      </c>
      <c r="P5" s="30">
        <f t="shared" si="8"/>
        <v>0.23257139356839374</v>
      </c>
    </row>
    <row r="6" spans="1:16" x14ac:dyDescent="0.4">
      <c r="A6" s="32">
        <f>+'Inflación BE'!A35</f>
        <v>46027</v>
      </c>
      <c r="B6" s="33">
        <f>+VLOOKUP(A6,'Inflación BE'!A:G,7)</f>
        <v>2.3723803545230071E-2</v>
      </c>
      <c r="C6" s="30">
        <f>+VLOOKUP(A6,'Inflación BE'!A:G,7)</f>
        <v>2.3723803545230071E-2</v>
      </c>
      <c r="D6" s="30">
        <f>+VLOOKUP(A6,'Inflación BE'!A:S,19)</f>
        <v>2.0932043736710204E-2</v>
      </c>
      <c r="E6" s="30">
        <f t="shared" si="0"/>
        <v>2.0932043736710204E-2</v>
      </c>
      <c r="F6" s="30">
        <f>+((((1+VLOOKUP(A6,'Inflación BE'!A:K,11))^3)/((1+E6)^2))^(1/1))-1</f>
        <v>1.9286577069377309E-2</v>
      </c>
      <c r="G6" s="30">
        <f>+((((1+VLOOKUP(A6,'Inflación BE'!A:O,15))^7)/((1+VLOOKUP(A6,'Inflación BE'!A:K,11))^3))^(1/4))-1</f>
        <v>1.6700942310901468E-2</v>
      </c>
      <c r="H6" s="30">
        <f t="shared" si="1"/>
        <v>1.6700942310901468E-2</v>
      </c>
      <c r="I6" s="30">
        <f t="shared" si="2"/>
        <v>1.6700942310901468E-2</v>
      </c>
      <c r="J6" s="30">
        <f t="shared" si="3"/>
        <v>1.6700942310901468E-2</v>
      </c>
      <c r="K6" s="30">
        <f>+((((1+VLOOKUP(A6,'Inflación BE'!A:W,23))^12)/((1+VLOOKUP(A6,'Inflación BE'!A:O,15))^7))^(1/5))-1</f>
        <v>1.5222318522100986E-2</v>
      </c>
      <c r="L6" s="30">
        <f t="shared" si="4"/>
        <v>1.5222318522100986E-2</v>
      </c>
      <c r="M6" s="30">
        <f t="shared" si="5"/>
        <v>1.5222318522100986E-2</v>
      </c>
      <c r="N6" s="30">
        <f t="shared" si="6"/>
        <v>1.5222318522100986E-2</v>
      </c>
      <c r="O6" s="30">
        <f t="shared" si="7"/>
        <v>1.5222318522100986E-2</v>
      </c>
      <c r="P6" s="30">
        <f t="shared" si="8"/>
        <v>0.23449776457088856</v>
      </c>
    </row>
    <row r="7" spans="1:16" x14ac:dyDescent="0.4">
      <c r="A7" s="32">
        <f>+'Inflación BE'!A36</f>
        <v>46028</v>
      </c>
      <c r="B7" s="33">
        <f>+VLOOKUP(A7,'Inflación BE'!A:G,7)</f>
        <v>2.3825676619630753E-2</v>
      </c>
      <c r="C7" s="30">
        <f>+VLOOKUP(A7,'Inflación BE'!A:G,7)</f>
        <v>2.3825676619630753E-2</v>
      </c>
      <c r="D7" s="30">
        <f>+VLOOKUP(A7,'Inflación BE'!A:S,19)</f>
        <v>2.0716460328678243E-2</v>
      </c>
      <c r="E7" s="30">
        <f t="shared" si="0"/>
        <v>2.0716460328678243E-2</v>
      </c>
      <c r="F7" s="30">
        <f>+((((1+VLOOKUP(A7,'Inflación BE'!A:K,11))^3)/((1+E7)^2))^(1/1))-1</f>
        <v>2.0094758736473484E-2</v>
      </c>
      <c r="G7" s="30">
        <f>+((((1+VLOOKUP(A7,'Inflación BE'!A:O,15))^7)/((1+VLOOKUP(A7,'Inflación BE'!A:K,11))^3))^(1/4))-1</f>
        <v>1.7579986881687493E-2</v>
      </c>
      <c r="H7" s="30">
        <f t="shared" si="1"/>
        <v>1.7579986881687493E-2</v>
      </c>
      <c r="I7" s="30">
        <f t="shared" si="2"/>
        <v>1.7579986881687493E-2</v>
      </c>
      <c r="J7" s="30">
        <f t="shared" si="3"/>
        <v>1.7579986881687493E-2</v>
      </c>
      <c r="K7" s="30">
        <f>+((((1+VLOOKUP(A7,'Inflación BE'!A:W,23))^12)/((1+VLOOKUP(A7,'Inflación BE'!A:O,15))^7))^(1/5))-1</f>
        <v>1.4439516887751802E-2</v>
      </c>
      <c r="L7" s="30">
        <f t="shared" si="4"/>
        <v>1.4439516887751802E-2</v>
      </c>
      <c r="M7" s="30">
        <f t="shared" si="5"/>
        <v>1.4439516887751802E-2</v>
      </c>
      <c r="N7" s="30">
        <f t="shared" si="6"/>
        <v>1.4439516887751802E-2</v>
      </c>
      <c r="O7" s="30">
        <f t="shared" si="7"/>
        <v>1.4439516887751802E-2</v>
      </c>
      <c r="P7" s="30">
        <f t="shared" si="8"/>
        <v>0.23553664856440459</v>
      </c>
    </row>
    <row r="8" spans="1:16" x14ac:dyDescent="0.4">
      <c r="A8" s="32">
        <f>+'Inflación BE'!A37</f>
        <v>46029</v>
      </c>
      <c r="B8" s="33">
        <f>+VLOOKUP(A8,'Inflación BE'!A:G,7)</f>
        <v>2.3768267208007066E-2</v>
      </c>
      <c r="C8" s="30">
        <f>+VLOOKUP(A8,'Inflación BE'!A:G,7)</f>
        <v>2.3768267208007066E-2</v>
      </c>
      <c r="D8" s="30">
        <f>+VLOOKUP(A8,'Inflación BE'!A:S,19)</f>
        <v>2.2210010324367202E-2</v>
      </c>
      <c r="E8" s="30">
        <f t="shared" si="0"/>
        <v>2.2210010324367202E-2</v>
      </c>
      <c r="F8" s="30">
        <f>+((((1+VLOOKUP(A8,'Inflación BE'!A:K,11))^3)/((1+E8)^2))^(1/1))-1</f>
        <v>1.8632832677173861E-2</v>
      </c>
      <c r="G8" s="30">
        <f>+((((1+VLOOKUP(A8,'Inflación BE'!A:O,15))^7)/((1+VLOOKUP(A8,'Inflación BE'!A:K,11))^3))^(1/4))-1</f>
        <v>1.7000515257081572E-2</v>
      </c>
      <c r="H8" s="30">
        <f t="shared" si="1"/>
        <v>1.7000515257081572E-2</v>
      </c>
      <c r="I8" s="30">
        <f t="shared" si="2"/>
        <v>1.7000515257081572E-2</v>
      </c>
      <c r="J8" s="30">
        <f t="shared" si="3"/>
        <v>1.7000515257081572E-2</v>
      </c>
      <c r="K8" s="30">
        <f>+((((1+VLOOKUP(A8,'Inflación BE'!A:W,23))^12)/((1+VLOOKUP(A8,'Inflación BE'!A:O,15))^7))^(1/5))-1</f>
        <v>1.4592909145093147E-2</v>
      </c>
      <c r="L8" s="30">
        <f t="shared" si="4"/>
        <v>1.4592909145093147E-2</v>
      </c>
      <c r="M8" s="30">
        <f t="shared" si="5"/>
        <v>1.4592909145093147E-2</v>
      </c>
      <c r="N8" s="30">
        <f t="shared" si="6"/>
        <v>1.4592909145093147E-2</v>
      </c>
      <c r="O8" s="30">
        <f t="shared" si="7"/>
        <v>1.4592909145093147E-2</v>
      </c>
      <c r="P8" s="30">
        <f t="shared" si="8"/>
        <v>0.23524065329745092</v>
      </c>
    </row>
    <row r="9" spans="1:16" x14ac:dyDescent="0.4">
      <c r="A9" s="32">
        <f>+'Inflación BE'!A38</f>
        <v>46030</v>
      </c>
      <c r="B9" s="33">
        <f>+VLOOKUP(A9,'Inflación BE'!A:G,7)</f>
        <v>2.414254709039354E-2</v>
      </c>
      <c r="C9" s="30">
        <f>+VLOOKUP(A9,'Inflación BE'!A:G,7)</f>
        <v>2.414254709039354E-2</v>
      </c>
      <c r="D9" s="30">
        <f>+VLOOKUP(A9,'Inflación BE'!A:S,19)</f>
        <v>2.1867602114846285E-2</v>
      </c>
      <c r="E9" s="30">
        <f t="shared" si="0"/>
        <v>2.1867602114846285E-2</v>
      </c>
      <c r="F9" s="30">
        <f>+((((1+VLOOKUP(A9,'Inflación BE'!A:K,11))^3)/((1+E9)^2))^(1/1))-1</f>
        <v>1.9856696765345738E-2</v>
      </c>
      <c r="G9" s="30">
        <f>+((((1+VLOOKUP(A9,'Inflación BE'!A:O,15))^7)/((1+VLOOKUP(A9,'Inflación BE'!A:K,11))^3))^(1/4))-1</f>
        <v>1.6787445493263276E-2</v>
      </c>
      <c r="H9" s="30">
        <f t="shared" si="1"/>
        <v>1.6787445493263276E-2</v>
      </c>
      <c r="I9" s="30">
        <f t="shared" si="2"/>
        <v>1.6787445493263276E-2</v>
      </c>
      <c r="J9" s="30">
        <f t="shared" si="3"/>
        <v>1.6787445493263276E-2</v>
      </c>
      <c r="K9" s="30">
        <f>+((((1+VLOOKUP(A9,'Inflación BE'!A:W,23))^12)/((1+VLOOKUP(A9,'Inflación BE'!A:O,15))^7))^(1/5))-1</f>
        <v>1.4758185409925906E-2</v>
      </c>
      <c r="L9" s="30">
        <f t="shared" si="4"/>
        <v>1.4758185409925906E-2</v>
      </c>
      <c r="M9" s="30">
        <f t="shared" si="5"/>
        <v>1.4758185409925906E-2</v>
      </c>
      <c r="N9" s="30">
        <f t="shared" si="6"/>
        <v>1.4758185409925906E-2</v>
      </c>
      <c r="O9" s="30">
        <f t="shared" si="7"/>
        <v>1.4758185409925906E-2</v>
      </c>
      <c r="P9" s="30">
        <f t="shared" si="8"/>
        <v>0.23611755748407237</v>
      </c>
    </row>
    <row r="10" spans="1:16" x14ac:dyDescent="0.4">
      <c r="A10" s="32">
        <f>+'Inflación BE'!A39</f>
        <v>46031</v>
      </c>
      <c r="B10" s="33">
        <f>+VLOOKUP(A10,'Inflación BE'!A:G,7)</f>
        <v>2.5790640214407023E-2</v>
      </c>
      <c r="C10" s="30">
        <f>+VLOOKUP(A10,'Inflación BE'!A:G,7)</f>
        <v>2.5790640214407023E-2</v>
      </c>
      <c r="D10" s="30">
        <f>+VLOOKUP(A10,'Inflación BE'!A:S,19)</f>
        <v>2.3017329288130606E-2</v>
      </c>
      <c r="E10" s="30">
        <f t="shared" si="0"/>
        <v>2.3017329288130606E-2</v>
      </c>
      <c r="F10" s="30">
        <f>+((((1+VLOOKUP(A10,'Inflación BE'!A:K,11))^3)/((1+E10)^2))^(1/1))-1</f>
        <v>2.1855221458260132E-2</v>
      </c>
      <c r="G10" s="30">
        <f>+((((1+VLOOKUP(A10,'Inflación BE'!A:O,15))^7)/((1+VLOOKUP(A10,'Inflación BE'!A:K,11))^3))^(1/4))-1</f>
        <v>1.7096638910234052E-2</v>
      </c>
      <c r="H10" s="30">
        <f t="shared" si="1"/>
        <v>1.7096638910234052E-2</v>
      </c>
      <c r="I10" s="30">
        <f t="shared" si="2"/>
        <v>1.7096638910234052E-2</v>
      </c>
      <c r="J10" s="30">
        <f t="shared" si="3"/>
        <v>1.7096638910234052E-2</v>
      </c>
      <c r="K10" s="30">
        <f>+((((1+VLOOKUP(A10,'Inflación BE'!A:W,23))^12)/((1+VLOOKUP(A10,'Inflación BE'!A:O,15))^7))^(1/5))-1</f>
        <v>1.4501100849643844E-2</v>
      </c>
      <c r="L10" s="30">
        <f t="shared" si="4"/>
        <v>1.4501100849643844E-2</v>
      </c>
      <c r="M10" s="30">
        <f t="shared" si="5"/>
        <v>1.4501100849643844E-2</v>
      </c>
      <c r="N10" s="30">
        <f t="shared" si="6"/>
        <v>1.4501100849643844E-2</v>
      </c>
      <c r="O10" s="30">
        <f t="shared" si="7"/>
        <v>1.4501100849643844E-2</v>
      </c>
      <c r="P10" s="30">
        <f t="shared" si="8"/>
        <v>0.24357805185791048</v>
      </c>
    </row>
    <row r="11" spans="1:16" x14ac:dyDescent="0.4">
      <c r="A11" s="32">
        <f>+'Inflación BE'!A40</f>
        <v>46034</v>
      </c>
      <c r="B11" s="33">
        <f>+VLOOKUP(A11,'Inflación BE'!A:G,7)</f>
        <v>2.464236578420187E-2</v>
      </c>
      <c r="C11" s="30">
        <f>+VLOOKUP(A11,'Inflación BE'!A:G,7)</f>
        <v>2.464236578420187E-2</v>
      </c>
      <c r="D11" s="30">
        <f>+VLOOKUP(A11,'Inflación BE'!A:S,19)</f>
        <v>2.2681466849102661E-2</v>
      </c>
      <c r="E11" s="30">
        <f t="shared" si="0"/>
        <v>2.2681466849102661E-2</v>
      </c>
      <c r="F11" s="30">
        <f>+((((1+VLOOKUP(A11,'Inflación BE'!A:K,11))^3)/((1+E11)^2))^(1/1))-1</f>
        <v>2.3336050007966902E-2</v>
      </c>
      <c r="G11" s="30">
        <f>+((((1+VLOOKUP(A11,'Inflación BE'!A:O,15))^7)/((1+VLOOKUP(A11,'Inflación BE'!A:K,11))^3))^(1/4))-1</f>
        <v>1.6177031171997536E-2</v>
      </c>
      <c r="H11" s="30">
        <f t="shared" si="1"/>
        <v>1.6177031171997536E-2</v>
      </c>
      <c r="I11" s="30">
        <f t="shared" si="2"/>
        <v>1.6177031171997536E-2</v>
      </c>
      <c r="J11" s="30">
        <f t="shared" si="3"/>
        <v>1.6177031171997536E-2</v>
      </c>
      <c r="K11" s="30">
        <f>+((((1+VLOOKUP(A11,'Inflación BE'!A:W,23))^12)/((1+VLOOKUP(A11,'Inflación BE'!A:O,15))^7))^(1/5))-1</f>
        <v>1.5392900742035476E-2</v>
      </c>
      <c r="L11" s="30">
        <f t="shared" si="4"/>
        <v>1.5392900742035476E-2</v>
      </c>
      <c r="M11" s="30">
        <f t="shared" si="5"/>
        <v>1.5392900742035476E-2</v>
      </c>
      <c r="N11" s="30">
        <f t="shared" si="6"/>
        <v>1.5392900742035476E-2</v>
      </c>
      <c r="O11" s="30">
        <f t="shared" si="7"/>
        <v>1.5392900742035476E-2</v>
      </c>
      <c r="P11" s="30">
        <f t="shared" si="8"/>
        <v>0.24304067892279191</v>
      </c>
    </row>
    <row r="12" spans="1:16" x14ac:dyDescent="0.4">
      <c r="A12" s="32">
        <f>+'Inflación BE'!A41</f>
        <v>46035</v>
      </c>
      <c r="B12" s="33">
        <f>+VLOOKUP(A12,'Inflación BE'!A:G,7)</f>
        <v>2.629803076863757E-2</v>
      </c>
      <c r="C12" s="30">
        <f>+VLOOKUP(A12,'Inflación BE'!A:G,7)</f>
        <v>2.629803076863757E-2</v>
      </c>
      <c r="D12" s="30">
        <f>+VLOOKUP(A12,'Inflación BE'!A:S,19)</f>
        <v>2.3738211593740788E-2</v>
      </c>
      <c r="E12" s="30">
        <f t="shared" si="0"/>
        <v>2.3738211593740788E-2</v>
      </c>
      <c r="F12" s="30">
        <f>+((((1+VLOOKUP(A12,'Inflación BE'!A:K,11))^3)/((1+E12)^2))^(1/1))-1</f>
        <v>2.1819664994850552E-2</v>
      </c>
      <c r="G12" s="30">
        <f>+((((1+VLOOKUP(A12,'Inflación BE'!A:O,15))^7)/((1+VLOOKUP(A12,'Inflación BE'!A:K,11))^3))^(1/4))-1</f>
        <v>1.6637617515128378E-2</v>
      </c>
      <c r="H12" s="30">
        <f t="shared" si="1"/>
        <v>1.6637617515128378E-2</v>
      </c>
      <c r="I12" s="30">
        <f t="shared" si="2"/>
        <v>1.6637617515128378E-2</v>
      </c>
      <c r="J12" s="30">
        <f t="shared" si="3"/>
        <v>1.6637617515128378E-2</v>
      </c>
      <c r="K12" s="30">
        <f>+((((1+VLOOKUP(A12,'Inflación BE'!A:W,23))^12)/((1+VLOOKUP(A12,'Inflación BE'!A:O,15))^7))^(1/5))-1</f>
        <v>1.5483879518852994E-2</v>
      </c>
      <c r="L12" s="30">
        <f t="shared" si="4"/>
        <v>1.5483879518852994E-2</v>
      </c>
      <c r="M12" s="30">
        <f t="shared" si="5"/>
        <v>1.5483879518852994E-2</v>
      </c>
      <c r="N12" s="30">
        <f t="shared" si="6"/>
        <v>1.5483879518852994E-2</v>
      </c>
      <c r="O12" s="30">
        <f t="shared" si="7"/>
        <v>1.5483879518852994E-2</v>
      </c>
      <c r="P12" s="30">
        <f t="shared" si="8"/>
        <v>0.24848237391043493</v>
      </c>
    </row>
    <row r="13" spans="1:16" x14ac:dyDescent="0.4">
      <c r="A13" s="32">
        <f>+'Inflación BE'!A42</f>
        <v>46036</v>
      </c>
      <c r="B13" s="33">
        <f>+VLOOKUP(A13,'Inflación BE'!A:G,7)</f>
        <v>2.6455226476603366E-2</v>
      </c>
      <c r="C13" s="30">
        <f>+VLOOKUP(A13,'Inflación BE'!A:G,7)</f>
        <v>2.6455226476603366E-2</v>
      </c>
      <c r="D13" s="30">
        <f>+VLOOKUP(A13,'Inflación BE'!A:S,19)</f>
        <v>2.3751366172063415E-2</v>
      </c>
      <c r="E13" s="30">
        <f t="shared" si="0"/>
        <v>2.3751366172063415E-2</v>
      </c>
      <c r="F13" s="30">
        <f>+((((1+VLOOKUP(A13,'Inflación BE'!A:K,11))^3)/((1+E13)^2))^(1/1))-1</f>
        <v>2.1084960329595726E-2</v>
      </c>
      <c r="G13" s="30">
        <f>+((((1+VLOOKUP(A13,'Inflación BE'!A:O,15))^7)/((1+VLOOKUP(A13,'Inflación BE'!A:K,11))^3))^(1/4))-1</f>
        <v>1.6667676707865287E-2</v>
      </c>
      <c r="H13" s="30">
        <f t="shared" si="1"/>
        <v>1.6667676707865287E-2</v>
      </c>
      <c r="I13" s="30">
        <f t="shared" si="2"/>
        <v>1.6667676707865287E-2</v>
      </c>
      <c r="J13" s="30">
        <f t="shared" si="3"/>
        <v>1.6667676707865287E-2</v>
      </c>
      <c r="K13" s="30">
        <f>+((((1+VLOOKUP(A13,'Inflación BE'!A:W,23))^12)/((1+VLOOKUP(A13,'Inflación BE'!A:O,15))^7))^(1/5))-1</f>
        <v>1.5333436188833538E-2</v>
      </c>
      <c r="L13" s="30">
        <f t="shared" si="4"/>
        <v>1.5333436188833538E-2</v>
      </c>
      <c r="M13" s="30">
        <f t="shared" si="5"/>
        <v>1.5333436188833538E-2</v>
      </c>
      <c r="N13" s="30">
        <f t="shared" si="6"/>
        <v>1.5333436188833538E-2</v>
      </c>
      <c r="O13" s="30">
        <f t="shared" si="7"/>
        <v>1.5333436188833538E-2</v>
      </c>
      <c r="P13" s="30">
        <f t="shared" si="8"/>
        <v>0.24721606426056275</v>
      </c>
    </row>
    <row r="14" spans="1:16" x14ac:dyDescent="0.4">
      <c r="A14" s="32">
        <f>+'Inflación BE'!A43</f>
        <v>46037</v>
      </c>
      <c r="B14" s="33">
        <f>+VLOOKUP(A14,'Inflación BE'!A:G,7)</f>
        <v>2.6076680202255176E-2</v>
      </c>
      <c r="C14" s="30">
        <f>+VLOOKUP(A14,'Inflación BE'!A:G,7)</f>
        <v>2.6076680202255176E-2</v>
      </c>
      <c r="D14" s="30">
        <f>+VLOOKUP(A14,'Inflación BE'!A:S,19)</f>
        <v>2.270022122830051E-2</v>
      </c>
      <c r="E14" s="30">
        <f t="shared" si="0"/>
        <v>2.270022122830051E-2</v>
      </c>
      <c r="F14" s="30">
        <f>+((((1+VLOOKUP(A14,'Inflación BE'!A:K,11))^3)/((1+E14)^2))^(1/1))-1</f>
        <v>2.1238008662413099E-2</v>
      </c>
      <c r="G14" s="30">
        <f>+((((1+VLOOKUP(A14,'Inflación BE'!A:O,15))^7)/((1+VLOOKUP(A14,'Inflación BE'!A:K,11))^3))^(1/4))-1</f>
        <v>1.4735205151870101E-2</v>
      </c>
      <c r="H14" s="30">
        <f t="shared" si="1"/>
        <v>1.4735205151870101E-2</v>
      </c>
      <c r="I14" s="30">
        <f t="shared" si="2"/>
        <v>1.4735205151870101E-2</v>
      </c>
      <c r="J14" s="30">
        <f t="shared" si="3"/>
        <v>1.4735205151870101E-2</v>
      </c>
      <c r="K14" s="30">
        <f>+((((1+VLOOKUP(A14,'Inflación BE'!A:W,23))^12)/((1+VLOOKUP(A14,'Inflación BE'!A:O,15))^7))^(1/5))-1</f>
        <v>1.4549678638376307E-2</v>
      </c>
      <c r="L14" s="30">
        <f t="shared" si="4"/>
        <v>1.4549678638376307E-2</v>
      </c>
      <c r="M14" s="30">
        <f t="shared" si="5"/>
        <v>1.4549678638376307E-2</v>
      </c>
      <c r="N14" s="30">
        <f t="shared" si="6"/>
        <v>1.4549678638376307E-2</v>
      </c>
      <c r="O14" s="30">
        <f t="shared" si="7"/>
        <v>1.4549678638376307E-2</v>
      </c>
      <c r="P14" s="30">
        <f t="shared" si="8"/>
        <v>0.23114064663226408</v>
      </c>
    </row>
    <row r="15" spans="1:16" x14ac:dyDescent="0.4">
      <c r="A15" s="32">
        <f>+'Inflación BE'!A44</f>
        <v>46038</v>
      </c>
      <c r="B15" s="33">
        <f>+VLOOKUP(A15,'Inflación BE'!A:G,7)</f>
        <v>2.6192296178827901E-2</v>
      </c>
      <c r="C15" s="30">
        <f>+VLOOKUP(A15,'Inflación BE'!A:G,7)</f>
        <v>2.6192296178827901E-2</v>
      </c>
      <c r="D15" s="30">
        <f>+VLOOKUP(A15,'Inflación BE'!A:S,19)</f>
        <v>2.3839512259863138E-2</v>
      </c>
      <c r="E15" s="30">
        <f t="shared" si="0"/>
        <v>2.3839512259863138E-2</v>
      </c>
      <c r="F15" s="30">
        <f>+((((1+VLOOKUP(A15,'Inflación BE'!A:K,11))^3)/((1+E15)^2))^(1/1))-1</f>
        <v>2.0097474230730494E-2</v>
      </c>
      <c r="G15" s="30">
        <f>+((((1+VLOOKUP(A15,'Inflación BE'!A:O,15))^7)/((1+VLOOKUP(A15,'Inflación BE'!A:K,11))^3))^(1/4))-1</f>
        <v>1.5077074422335635E-2</v>
      </c>
      <c r="H15" s="30">
        <f t="shared" si="1"/>
        <v>1.5077074422335635E-2</v>
      </c>
      <c r="I15" s="30">
        <f t="shared" si="2"/>
        <v>1.5077074422335635E-2</v>
      </c>
      <c r="J15" s="30">
        <f t="shared" si="3"/>
        <v>1.5077074422335635E-2</v>
      </c>
      <c r="K15" s="30">
        <f>+((((1+VLOOKUP(A15,'Inflación BE'!A:W,23))^12)/((1+VLOOKUP(A15,'Inflación BE'!A:O,15))^7))^(1/5))-1</f>
        <v>1.3653050404312417E-2</v>
      </c>
      <c r="L15" s="30">
        <f t="shared" si="4"/>
        <v>1.3653050404312417E-2</v>
      </c>
      <c r="M15" s="30">
        <f t="shared" si="5"/>
        <v>1.3653050404312417E-2</v>
      </c>
      <c r="N15" s="30">
        <f t="shared" si="6"/>
        <v>1.3653050404312417E-2</v>
      </c>
      <c r="O15" s="30">
        <f t="shared" si="7"/>
        <v>1.3653050404312417E-2</v>
      </c>
      <c r="P15" s="30">
        <f t="shared" si="8"/>
        <v>0.22995039972403863</v>
      </c>
    </row>
    <row r="16" spans="1:16" x14ac:dyDescent="0.4">
      <c r="A16" s="32">
        <f>+'Inflación BE'!A45</f>
        <v>46041</v>
      </c>
      <c r="B16" s="33">
        <f>+VLOOKUP(A16,'Inflación BE'!A:G,7)</f>
        <v>2.1507827196698193E-2</v>
      </c>
      <c r="C16" s="30">
        <f>+VLOOKUP(A16,'Inflación BE'!A:G,7)</f>
        <v>2.1507827196698193E-2</v>
      </c>
      <c r="D16" s="30">
        <f>+VLOOKUP(A16,'Inflación BE'!A:S,19)</f>
        <v>2.2605079360666469E-2</v>
      </c>
      <c r="E16" s="30">
        <f t="shared" si="0"/>
        <v>2.2605079360666469E-2</v>
      </c>
      <c r="F16" s="30">
        <f>+((((1+VLOOKUP(A16,'Inflación BE'!A:K,11))^3)/((1+E16)^2))^(1/1))-1</f>
        <v>1.737265171766178E-2</v>
      </c>
      <c r="G16" s="30">
        <f>+((((1+VLOOKUP(A16,'Inflación BE'!A:O,15))^7)/((1+VLOOKUP(A16,'Inflación BE'!A:K,11))^3))^(1/4))-1</f>
        <v>1.4321284964408099E-2</v>
      </c>
      <c r="H16" s="30">
        <f t="shared" si="1"/>
        <v>1.4321284964408099E-2</v>
      </c>
      <c r="I16" s="30">
        <f t="shared" si="2"/>
        <v>1.4321284964408099E-2</v>
      </c>
      <c r="J16" s="30">
        <f t="shared" si="3"/>
        <v>1.4321284964408099E-2</v>
      </c>
      <c r="K16" s="30">
        <f>+((((1+VLOOKUP(A16,'Inflación BE'!A:W,23))^12)/((1+VLOOKUP(A16,'Inflación BE'!A:O,15))^7))^(1/5))-1</f>
        <v>1.4288548039020021E-2</v>
      </c>
      <c r="L16" s="30">
        <f t="shared" si="4"/>
        <v>1.4288548039020021E-2</v>
      </c>
      <c r="M16" s="30">
        <f t="shared" si="5"/>
        <v>1.4288548039020021E-2</v>
      </c>
      <c r="N16" s="30">
        <f t="shared" si="6"/>
        <v>1.4288548039020021E-2</v>
      </c>
      <c r="O16" s="30">
        <f t="shared" si="7"/>
        <v>1.4288548039020021E-2</v>
      </c>
      <c r="P16" s="30">
        <f t="shared" si="8"/>
        <v>0.21754744358728861</v>
      </c>
    </row>
    <row r="17" spans="1:16" x14ac:dyDescent="0.4">
      <c r="A17" s="32">
        <f>+'Inflación BE'!A46</f>
        <v>46042</v>
      </c>
      <c r="B17" s="33">
        <f>+VLOOKUP(A17,'Inflación BE'!A:G,7)</f>
        <v>1.993744929407204E-2</v>
      </c>
      <c r="C17" s="30">
        <f>+VLOOKUP(A17,'Inflación BE'!A:G,7)</f>
        <v>1.993744929407204E-2</v>
      </c>
      <c r="D17" s="30">
        <f>+VLOOKUP(A17,'Inflación BE'!A:S,19)</f>
        <v>2.0766766934221081E-2</v>
      </c>
      <c r="E17" s="30">
        <f t="shared" si="0"/>
        <v>2.0766766934221081E-2</v>
      </c>
      <c r="F17" s="30">
        <f>+((((1+VLOOKUP(A17,'Inflación BE'!A:K,11))^3)/((1+E17)^2))^(1/1))-1</f>
        <v>2.160285217558644E-2</v>
      </c>
      <c r="G17" s="30">
        <f>+((((1+VLOOKUP(A17,'Inflación BE'!A:O,15))^7)/((1+VLOOKUP(A17,'Inflación BE'!A:K,11))^3))^(1/4))-1</f>
        <v>1.4243739531451194E-2</v>
      </c>
      <c r="H17" s="30">
        <f t="shared" si="1"/>
        <v>1.4243739531451194E-2</v>
      </c>
      <c r="I17" s="30">
        <f t="shared" si="2"/>
        <v>1.4243739531451194E-2</v>
      </c>
      <c r="J17" s="30">
        <f t="shared" si="3"/>
        <v>1.4243739531451194E-2</v>
      </c>
      <c r="K17" s="30">
        <f>+((((1+VLOOKUP(A17,'Inflación BE'!A:W,23))^12)/((1+VLOOKUP(A17,'Inflación BE'!A:O,15))^7))^(1/5))-1</f>
        <v>1.3780874066134485E-2</v>
      </c>
      <c r="L17" s="30">
        <f t="shared" si="4"/>
        <v>1.3780874066134485E-2</v>
      </c>
      <c r="M17" s="30">
        <f t="shared" si="5"/>
        <v>1.3780874066134485E-2</v>
      </c>
      <c r="N17" s="30">
        <f t="shared" si="6"/>
        <v>1.3780874066134485E-2</v>
      </c>
      <c r="O17" s="30">
        <f t="shared" si="7"/>
        <v>1.3780874066134485E-2</v>
      </c>
      <c r="P17" s="30">
        <f t="shared" si="8"/>
        <v>0.21354084032846421</v>
      </c>
    </row>
    <row r="18" spans="1:16" x14ac:dyDescent="0.4">
      <c r="A18" s="32">
        <f>+'Inflación BE'!A47</f>
        <v>46043</v>
      </c>
      <c r="B18" s="33">
        <f>+VLOOKUP(A18,'Inflación BE'!A:G,7)</f>
        <v>1.9866714433770971E-2</v>
      </c>
      <c r="C18" s="30">
        <f>+VLOOKUP(A18,'Inflación BE'!A:G,7)</f>
        <v>1.9866714433770971E-2</v>
      </c>
      <c r="D18" s="30">
        <f>+VLOOKUP(A18,'Inflación BE'!A:S,19)</f>
        <v>2.1099053085114061E-2</v>
      </c>
      <c r="E18" s="30">
        <f t="shared" si="0"/>
        <v>2.1099053085114061E-2</v>
      </c>
      <c r="F18" s="30">
        <f>+((((1+VLOOKUP(A18,'Inflación BE'!A:K,11))^3)/((1+E18)^2))^(1/1))-1</f>
        <v>1.9617827562067758E-2</v>
      </c>
      <c r="G18" s="30">
        <f>+((((1+VLOOKUP(A18,'Inflación BE'!A:O,15))^7)/((1+VLOOKUP(A18,'Inflación BE'!A:K,11))^3))^(1/4))-1</f>
        <v>1.5734207726482374E-2</v>
      </c>
      <c r="H18" s="30">
        <f t="shared" si="1"/>
        <v>1.5734207726482374E-2</v>
      </c>
      <c r="I18" s="30">
        <f t="shared" si="2"/>
        <v>1.5734207726482374E-2</v>
      </c>
      <c r="J18" s="30">
        <f t="shared" si="3"/>
        <v>1.5734207726482374E-2</v>
      </c>
      <c r="K18" s="30">
        <f>+((((1+VLOOKUP(A18,'Inflación BE'!A:W,23))^12)/((1+VLOOKUP(A18,'Inflación BE'!A:O,15))^7))^(1/5))-1</f>
        <v>1.3247089657222766E-2</v>
      </c>
      <c r="L18" s="30">
        <f t="shared" si="4"/>
        <v>1.3247089657222766E-2</v>
      </c>
      <c r="M18" s="30">
        <f t="shared" si="5"/>
        <v>1.3247089657222766E-2</v>
      </c>
      <c r="N18" s="30">
        <f t="shared" si="6"/>
        <v>1.3247089657222766E-2</v>
      </c>
      <c r="O18" s="30">
        <f t="shared" si="7"/>
        <v>1.3247089657222766E-2</v>
      </c>
      <c r="P18" s="30">
        <f t="shared" si="8"/>
        <v>0.21646147707287877</v>
      </c>
    </row>
    <row r="19" spans="1:16" x14ac:dyDescent="0.4">
      <c r="A19" s="34">
        <f>+'Inflación BE'!A48</f>
        <v>46044</v>
      </c>
      <c r="B19" s="35">
        <v>2.8452719345717137E-2</v>
      </c>
      <c r="C19" s="30">
        <f>+VLOOKUP(A19,'Inflación BE'!A:G,7)</f>
        <v>1.9473233402789836E-2</v>
      </c>
      <c r="D19" s="30">
        <f>+VLOOKUP(A19,'Inflación BE'!A:S,19)</f>
        <v>2.0241032409474391E-2</v>
      </c>
      <c r="E19" s="30">
        <f t="shared" si="0"/>
        <v>2.0241032409474391E-2</v>
      </c>
      <c r="F19" s="30">
        <f>+((((1+VLOOKUP(A19,'Inflación BE'!A:K,11))^3)/((1+E19)^2))^(1/1))-1</f>
        <v>2.1412174667893913E-2</v>
      </c>
      <c r="G19" s="30">
        <f>+((((1+VLOOKUP(A19,'Inflación BE'!A:O,15))^7)/((1+VLOOKUP(A19,'Inflación BE'!A:K,11))^3))^(1/4))-1</f>
        <v>1.6704102930737097E-2</v>
      </c>
      <c r="H19" s="30">
        <f t="shared" si="1"/>
        <v>1.6704102930737097E-2</v>
      </c>
      <c r="I19" s="30">
        <f t="shared" si="2"/>
        <v>1.6704102930737097E-2</v>
      </c>
      <c r="J19" s="30">
        <f t="shared" si="3"/>
        <v>1.6704102930737097E-2</v>
      </c>
      <c r="K19" s="30">
        <f>+((((1+VLOOKUP(A19,'Inflación BE'!A:W,23))^12)/((1+VLOOKUP(A19,'Inflación BE'!A:O,15))^7))^(1/5))-1</f>
        <v>1.3094024599336729E-2</v>
      </c>
      <c r="L19" s="30">
        <f t="shared" si="4"/>
        <v>1.3094024599336729E-2</v>
      </c>
      <c r="M19" s="30">
        <f t="shared" si="5"/>
        <v>1.3094024599336729E-2</v>
      </c>
      <c r="N19" s="30">
        <f t="shared" si="6"/>
        <v>1.3094024599336729E-2</v>
      </c>
      <c r="O19" s="30">
        <f t="shared" si="7"/>
        <v>1.3094024599336729E-2</v>
      </c>
      <c r="P19" s="30">
        <f t="shared" si="8"/>
        <v>0.21999977356832146</v>
      </c>
    </row>
    <row r="20" spans="1:16" x14ac:dyDescent="0.4">
      <c r="A20" s="32">
        <f>+'Inflación BE'!A49</f>
        <v>46045</v>
      </c>
      <c r="B20" s="35">
        <v>2.8452719345717137E-2</v>
      </c>
      <c r="C20" s="30">
        <f>+VLOOKUP(A20,'Inflación BE'!A:G,7)</f>
        <v>2.3485758236666321E-2</v>
      </c>
      <c r="D20" s="30">
        <f>+VLOOKUP(A20,'Inflación BE'!A:S,19)</f>
        <v>2.1254148850364807E-2</v>
      </c>
      <c r="E20" s="30">
        <f t="shared" si="0"/>
        <v>2.1254148850364807E-2</v>
      </c>
      <c r="F20" s="30">
        <f>+((((1+VLOOKUP(A20,'Inflación BE'!A:K,11))^3)/((1+E20)^2))^(1/1))-1</f>
        <v>2.1004561813299016E-2</v>
      </c>
      <c r="G20" s="30">
        <f>+((((1+VLOOKUP(A20,'Inflación BE'!A:O,15))^7)/((1+VLOOKUP(A20,'Inflación BE'!A:K,11))^3))^(1/4))-1</f>
        <v>1.6019358123744665E-2</v>
      </c>
      <c r="H20" s="30">
        <f t="shared" si="1"/>
        <v>1.6019358123744665E-2</v>
      </c>
      <c r="I20" s="30">
        <f t="shared" si="2"/>
        <v>1.6019358123744665E-2</v>
      </c>
      <c r="J20" s="30">
        <f t="shared" si="3"/>
        <v>1.6019358123744665E-2</v>
      </c>
      <c r="K20" s="30">
        <f>+((((1+VLOOKUP(A20,'Inflación BE'!A:W,23))^12)/((1+VLOOKUP(A20,'Inflación BE'!A:O,15))^7))^(1/5))-1</f>
        <v>1.3005756316417427E-2</v>
      </c>
      <c r="L20" s="30">
        <f t="shared" si="4"/>
        <v>1.3005756316417427E-2</v>
      </c>
      <c r="M20" s="30">
        <f t="shared" si="5"/>
        <v>1.3005756316417427E-2</v>
      </c>
      <c r="N20" s="30">
        <f t="shared" si="6"/>
        <v>1.3005756316417427E-2</v>
      </c>
      <c r="O20" s="30">
        <f t="shared" si="7"/>
        <v>1.3005756316417427E-2</v>
      </c>
      <c r="P20" s="30">
        <f t="shared" si="8"/>
        <v>0.22301768579055303</v>
      </c>
    </row>
    <row r="21" spans="1:16" x14ac:dyDescent="0.4">
      <c r="A21" s="32">
        <f>+'Inflación BE'!A50</f>
        <v>46048</v>
      </c>
      <c r="B21" s="35">
        <v>2.8452719345717137E-2</v>
      </c>
      <c r="C21" s="30">
        <f>+VLOOKUP(A21,'Inflación BE'!A:G,7)</f>
        <v>2.2963372257759795E-2</v>
      </c>
      <c r="D21" s="30">
        <f>+VLOOKUP(A21,'Inflación BE'!A:S,19)</f>
        <v>2.1352510207132136E-2</v>
      </c>
      <c r="E21" s="30">
        <f t="shared" si="0"/>
        <v>2.1352510207132136E-2</v>
      </c>
      <c r="F21" s="30">
        <f>+((((1+VLOOKUP(A21,'Inflación BE'!A:K,11))^3)/((1+E21)^2))^(1/1))-1</f>
        <v>2.1202006557027975E-2</v>
      </c>
      <c r="G21" s="30">
        <f>+((((1+VLOOKUP(A21,'Inflación BE'!A:O,15))^7)/((1+VLOOKUP(A21,'Inflación BE'!A:K,11))^3))^(1/4))-1</f>
        <v>1.5622956366365903E-2</v>
      </c>
      <c r="H21" s="30">
        <f t="shared" si="1"/>
        <v>1.5622956366365903E-2</v>
      </c>
      <c r="I21" s="30">
        <f t="shared" si="2"/>
        <v>1.5622956366365903E-2</v>
      </c>
      <c r="J21" s="30">
        <f t="shared" si="3"/>
        <v>1.5622956366365903E-2</v>
      </c>
      <c r="K21" s="30">
        <f>+((((1+VLOOKUP(A21,'Inflación BE'!A:W,23))^12)/((1+VLOOKUP(A21,'Inflación BE'!A:O,15))^7))^(1/5))-1</f>
        <v>1.3406808228014544E-2</v>
      </c>
      <c r="L21" s="30">
        <f t="shared" si="4"/>
        <v>1.3406808228014544E-2</v>
      </c>
      <c r="M21" s="30">
        <f t="shared" si="5"/>
        <v>1.3406808228014544E-2</v>
      </c>
      <c r="N21" s="30">
        <f t="shared" si="6"/>
        <v>1.3406808228014544E-2</v>
      </c>
      <c r="O21" s="30">
        <f t="shared" si="7"/>
        <v>1.3406808228014544E-2</v>
      </c>
      <c r="P21" s="30">
        <f t="shared" si="8"/>
        <v>0.22289274966260031</v>
      </c>
    </row>
    <row r="22" spans="1:16" x14ac:dyDescent="0.4">
      <c r="A22" s="32">
        <f>+'Inflación BE'!A51</f>
        <v>46049</v>
      </c>
      <c r="B22" s="35">
        <v>2.8452719345717137E-2</v>
      </c>
      <c r="C22" s="30">
        <f>+VLOOKUP(A22,'Inflación BE'!A:G,7)</f>
        <v>2.3326798176471764E-2</v>
      </c>
      <c r="D22" s="30">
        <f>+VLOOKUP(A22,'Inflación BE'!A:S,19)</f>
        <v>2.0288280283467186E-2</v>
      </c>
      <c r="E22" s="30">
        <f t="shared" si="0"/>
        <v>2.0288280283467186E-2</v>
      </c>
      <c r="F22" s="30">
        <f>+((((1+VLOOKUP(A22,'Inflación BE'!A:K,11))^3)/((1+E22)^2))^(1/1))-1</f>
        <v>2.2086285960045693E-2</v>
      </c>
      <c r="G22" s="30">
        <f>+((((1+VLOOKUP(A22,'Inflación BE'!A:O,15))^7)/((1+VLOOKUP(A22,'Inflación BE'!A:K,11))^3))^(1/4))-1</f>
        <v>1.6346972340195665E-2</v>
      </c>
      <c r="H22" s="30">
        <f t="shared" si="1"/>
        <v>1.6346972340195665E-2</v>
      </c>
      <c r="I22" s="30">
        <f t="shared" si="2"/>
        <v>1.6346972340195665E-2</v>
      </c>
      <c r="J22" s="30">
        <f t="shared" si="3"/>
        <v>1.6346972340195665E-2</v>
      </c>
      <c r="K22" s="30">
        <f>+((((1+VLOOKUP(A22,'Inflación BE'!A:W,23))^12)/((1+VLOOKUP(A22,'Inflación BE'!A:O,15))^7))^(1/5))-1</f>
        <v>1.2370238411154588E-2</v>
      </c>
      <c r="L22" s="30">
        <f t="shared" si="4"/>
        <v>1.2370238411154588E-2</v>
      </c>
      <c r="M22" s="30">
        <f t="shared" si="5"/>
        <v>1.2370238411154588E-2</v>
      </c>
      <c r="N22" s="30">
        <f t="shared" si="6"/>
        <v>1.2370238411154588E-2</v>
      </c>
      <c r="O22" s="30">
        <f t="shared" si="7"/>
        <v>1.2370238411154588E-2</v>
      </c>
      <c r="P22" s="30">
        <f t="shared" si="8"/>
        <v>0.22031843712580712</v>
      </c>
    </row>
    <row r="23" spans="1:16" x14ac:dyDescent="0.4">
      <c r="A23" s="32">
        <f>+'Inflación BE'!A52</f>
        <v>46050</v>
      </c>
      <c r="B23" s="35">
        <v>2.8452719345717137E-2</v>
      </c>
      <c r="C23" s="30">
        <f>+VLOOKUP(A23,'Inflación BE'!A:G,7)</f>
        <v>2.3575723260099046E-2</v>
      </c>
      <c r="D23" s="30">
        <f>+VLOOKUP(A23,'Inflación BE'!A:S,19)</f>
        <v>1.8965761379321044E-2</v>
      </c>
      <c r="E23" s="30">
        <f t="shared" si="0"/>
        <v>1.8965761379321044E-2</v>
      </c>
      <c r="F23" s="30">
        <f>+((((1+VLOOKUP(A23,'Inflación BE'!A:K,11))^3)/((1+E23)^2))^(1/1))-1</f>
        <v>2.5044526294935254E-2</v>
      </c>
      <c r="G23" s="30">
        <f>+((((1+VLOOKUP(A23,'Inflación BE'!A:O,15))^7)/((1+VLOOKUP(A23,'Inflación BE'!A:K,11))^3))^(1/4))-1</f>
        <v>1.5337440243328837E-2</v>
      </c>
      <c r="H23" s="30">
        <f t="shared" si="1"/>
        <v>1.5337440243328837E-2</v>
      </c>
      <c r="I23" s="30">
        <f t="shared" si="2"/>
        <v>1.5337440243328837E-2</v>
      </c>
      <c r="J23" s="30">
        <f t="shared" si="3"/>
        <v>1.5337440243328837E-2</v>
      </c>
      <c r="K23" s="30">
        <f>+((((1+VLOOKUP(A23,'Inflación BE'!A:W,23))^12)/((1+VLOOKUP(A23,'Inflación BE'!A:O,15))^7))^(1/5))-1</f>
        <v>1.2988364453924817E-2</v>
      </c>
      <c r="L23" s="30">
        <f t="shared" si="4"/>
        <v>1.2988364453924817E-2</v>
      </c>
      <c r="M23" s="30">
        <f t="shared" si="5"/>
        <v>1.2988364453924817E-2</v>
      </c>
      <c r="N23" s="30">
        <f t="shared" si="6"/>
        <v>1.2988364453924817E-2</v>
      </c>
      <c r="O23" s="30">
        <f t="shared" si="7"/>
        <v>1.2988364453924817E-2</v>
      </c>
      <c r="P23" s="30">
        <f t="shared" si="8"/>
        <v>0.21910558825822868</v>
      </c>
    </row>
    <row r="24" spans="1:16" x14ac:dyDescent="0.4">
      <c r="A24" s="32">
        <f>+'Inflación BE'!A53</f>
        <v>46051</v>
      </c>
      <c r="B24" s="35">
        <v>2.8452719345717137E-2</v>
      </c>
      <c r="C24" s="30">
        <f>+VLOOKUP(A24,'Inflación BE'!A:G,7)</f>
        <v>2.3465328249111739E-2</v>
      </c>
      <c r="D24" s="30">
        <f>+VLOOKUP(A24,'Inflación BE'!A:S,19)</f>
        <v>2.0390805977772208E-2</v>
      </c>
      <c r="E24" s="30">
        <f t="shared" si="0"/>
        <v>2.0390805977772208E-2</v>
      </c>
      <c r="F24" s="30">
        <f>+((((1+VLOOKUP(A24,'Inflación BE'!A:K,11))^3)/((1+E24)^2))^(1/1))-1</f>
        <v>1.9315436787715967E-2</v>
      </c>
      <c r="G24" s="30">
        <f>+((((1+VLOOKUP(A24,'Inflación BE'!A:O,15))^7)/((1+VLOOKUP(A24,'Inflación BE'!A:K,11))^3))^(1/4))-1</f>
        <v>1.5817117842872319E-2</v>
      </c>
      <c r="H24" s="30">
        <f t="shared" si="1"/>
        <v>1.5817117842872319E-2</v>
      </c>
      <c r="I24" s="30">
        <f t="shared" si="2"/>
        <v>1.5817117842872319E-2</v>
      </c>
      <c r="J24" s="30">
        <f t="shared" si="3"/>
        <v>1.5817117842872319E-2</v>
      </c>
      <c r="K24" s="30">
        <f>+((((1+VLOOKUP(A24,'Inflación BE'!A:W,23))^12)/((1+VLOOKUP(A24,'Inflación BE'!A:O,15))^7))^(1/5))-1</f>
        <v>1.3231861035947867E-2</v>
      </c>
      <c r="L24" s="30">
        <f t="shared" si="4"/>
        <v>1.3231861035947867E-2</v>
      </c>
      <c r="M24" s="30">
        <f t="shared" si="5"/>
        <v>1.3231861035947867E-2</v>
      </c>
      <c r="N24" s="30">
        <f t="shared" si="6"/>
        <v>1.3231861035947867E-2</v>
      </c>
      <c r="O24" s="30">
        <f t="shared" si="7"/>
        <v>1.3231861035947867E-2</v>
      </c>
      <c r="P24" s="30">
        <f t="shared" si="8"/>
        <v>0.21902403493938172</v>
      </c>
    </row>
    <row r="25" spans="1:16" x14ac:dyDescent="0.4">
      <c r="A25" s="32">
        <f>+'Inflación BE'!A54</f>
        <v>46052</v>
      </c>
      <c r="B25" s="35">
        <v>2.8452719345717137E-2</v>
      </c>
      <c r="C25" s="30">
        <f>+VLOOKUP(A25,'Inflación BE'!A:G,7)</f>
        <v>2.6316358203718915E-2</v>
      </c>
      <c r="D25" s="30">
        <f>+VLOOKUP(A25,'Inflación BE'!A:S,19)</f>
        <v>2.0639232133398577E-2</v>
      </c>
      <c r="E25" s="30">
        <f t="shared" si="0"/>
        <v>2.0639232133398577E-2</v>
      </c>
      <c r="F25" s="30">
        <f>+((((1+VLOOKUP(A25,'Inflación BE'!A:K,11))^3)/((1+E25)^2))^(1/1))-1</f>
        <v>1.9297539244607975E-2</v>
      </c>
      <c r="G25" s="30">
        <f>+((((1+VLOOKUP(A25,'Inflación BE'!A:O,15))^7)/((1+VLOOKUP(A25,'Inflación BE'!A:K,11))^3))^(1/4))-1</f>
        <v>1.5444845940109531E-2</v>
      </c>
      <c r="H25" s="30">
        <f t="shared" si="1"/>
        <v>1.5444845940109531E-2</v>
      </c>
      <c r="I25" s="30">
        <f t="shared" si="2"/>
        <v>1.5444845940109531E-2</v>
      </c>
      <c r="J25" s="30">
        <f t="shared" si="3"/>
        <v>1.5444845940109531E-2</v>
      </c>
      <c r="K25" s="30">
        <f>+((((1+VLOOKUP(A25,'Inflación BE'!A:W,23))^12)/((1+VLOOKUP(A25,'Inflación BE'!A:O,15))^7))^(1/5))-1</f>
        <v>1.3534090932940002E-2</v>
      </c>
      <c r="L25" s="30">
        <f t="shared" si="4"/>
        <v>1.3534090932940002E-2</v>
      </c>
      <c r="M25" s="30">
        <f t="shared" si="5"/>
        <v>1.3534090932940002E-2</v>
      </c>
      <c r="N25" s="30">
        <f t="shared" si="6"/>
        <v>1.3534090932940002E-2</v>
      </c>
      <c r="O25" s="30">
        <f t="shared" si="7"/>
        <v>1.3534090932940002E-2</v>
      </c>
      <c r="P25" s="30">
        <f t="shared" si="8"/>
        <v>0.22265955356504952</v>
      </c>
    </row>
    <row r="26" spans="1:16" x14ac:dyDescent="0.4">
      <c r="A26" s="32">
        <f>+'Inflación BE'!A55</f>
        <v>46055</v>
      </c>
      <c r="B26" s="35">
        <v>2.8452719345717137E-2</v>
      </c>
      <c r="C26" s="30">
        <f>+VLOOKUP(A26,'Inflación BE'!A:G,7)</f>
        <v>2.5344711642668827E-2</v>
      </c>
      <c r="D26" s="30">
        <f>+VLOOKUP(A26,'Inflación BE'!A:S,19)</f>
        <v>1.9841239486941165E-2</v>
      </c>
      <c r="E26" s="30">
        <f t="shared" si="0"/>
        <v>1.9841239486941165E-2</v>
      </c>
      <c r="F26" s="30">
        <f>+((((1+VLOOKUP(A26,'Inflación BE'!A:K,11))^3)/((1+E26)^2))^(1/1))-1</f>
        <v>2.055300628093093E-2</v>
      </c>
      <c r="G26" s="30">
        <f>+((((1+VLOOKUP(A26,'Inflación BE'!A:O,15))^7)/((1+VLOOKUP(A26,'Inflación BE'!A:K,11))^3))^(1/4))-1</f>
        <v>1.4981326352778268E-2</v>
      </c>
      <c r="H26" s="30">
        <f t="shared" si="1"/>
        <v>1.4981326352778268E-2</v>
      </c>
      <c r="I26" s="30">
        <f t="shared" si="2"/>
        <v>1.4981326352778268E-2</v>
      </c>
      <c r="J26" s="30">
        <f t="shared" si="3"/>
        <v>1.4981326352778268E-2</v>
      </c>
      <c r="K26" s="30">
        <f>+((((1+VLOOKUP(A26,'Inflación BE'!A:W,23))^12)/((1+VLOOKUP(A26,'Inflación BE'!A:O,15))^7))^(1/5))-1</f>
        <v>1.3956988700999595E-2</v>
      </c>
      <c r="L26" s="30">
        <f t="shared" si="4"/>
        <v>1.3956988700999595E-2</v>
      </c>
      <c r="M26" s="30">
        <f t="shared" si="5"/>
        <v>1.3956988700999595E-2</v>
      </c>
      <c r="N26" s="30">
        <f t="shared" si="6"/>
        <v>1.3956988700999595E-2</v>
      </c>
      <c r="O26" s="30">
        <f t="shared" si="7"/>
        <v>1.3956988700999595E-2</v>
      </c>
      <c r="P26" s="30">
        <f t="shared" si="8"/>
        <v>0.2209023842615343</v>
      </c>
    </row>
    <row r="27" spans="1:16" x14ac:dyDescent="0.4">
      <c r="A27" s="32">
        <f>+'Inflación BE'!A56</f>
        <v>46056</v>
      </c>
      <c r="B27" s="35">
        <v>2.8452719345717137E-2</v>
      </c>
      <c r="C27" s="30">
        <f>+VLOOKUP(A27,'Inflación BE'!A:G,7)</f>
        <v>2.4969361849479066E-2</v>
      </c>
      <c r="D27" s="30">
        <f>+VLOOKUP(A27,'Inflación BE'!A:S,19)</f>
        <v>2.1806769015916938E-2</v>
      </c>
      <c r="E27" s="30">
        <f t="shared" si="0"/>
        <v>2.1806769015916938E-2</v>
      </c>
      <c r="F27" s="30">
        <f>+((((1+VLOOKUP(A27,'Inflación BE'!A:K,11))^3)/((1+E27)^2))^(1/1))-1</f>
        <v>1.8291566750870736E-2</v>
      </c>
      <c r="G27" s="30">
        <f>+((((1+VLOOKUP(A27,'Inflación BE'!A:O,15))^7)/((1+VLOOKUP(A27,'Inflación BE'!A:K,11))^3))^(1/4))-1</f>
        <v>1.5917933196682776E-2</v>
      </c>
      <c r="H27" s="30">
        <f t="shared" si="1"/>
        <v>1.5917933196682776E-2</v>
      </c>
      <c r="I27" s="30">
        <f t="shared" si="2"/>
        <v>1.5917933196682776E-2</v>
      </c>
      <c r="J27" s="30">
        <f t="shared" si="3"/>
        <v>1.5917933196682776E-2</v>
      </c>
      <c r="K27" s="30">
        <f>+((((1+VLOOKUP(A27,'Inflación BE'!A:W,23))^12)/((1+VLOOKUP(A27,'Inflación BE'!A:O,15))^7))^(1/5))-1</f>
        <v>1.3021760209319222E-2</v>
      </c>
      <c r="L27" s="30">
        <f t="shared" si="4"/>
        <v>1.3021760209319222E-2</v>
      </c>
      <c r="M27" s="30">
        <f t="shared" si="5"/>
        <v>1.3021760209319222E-2</v>
      </c>
      <c r="N27" s="30">
        <f t="shared" si="6"/>
        <v>1.3021760209319222E-2</v>
      </c>
      <c r="O27" s="30">
        <f t="shared" si="7"/>
        <v>1.3021760209319222E-2</v>
      </c>
      <c r="P27" s="30">
        <f t="shared" si="8"/>
        <v>0.22244741192589612</v>
      </c>
    </row>
    <row r="28" spans="1:16" x14ac:dyDescent="0.4">
      <c r="A28" s="32">
        <f>+'Inflación BE'!A57</f>
        <v>46057</v>
      </c>
      <c r="B28" s="35">
        <v>2.8452719345717137E-2</v>
      </c>
      <c r="C28" s="30">
        <f>+VLOOKUP(A28,'Inflación BE'!A:G,7)</f>
        <v>2.5431519694757876E-2</v>
      </c>
      <c r="D28" s="30">
        <f>+VLOOKUP(A28,'Inflación BE'!A:S,19)</f>
        <v>2.1265286764231117E-2</v>
      </c>
      <c r="E28" s="30">
        <f t="shared" si="0"/>
        <v>2.1265286764231117E-2</v>
      </c>
      <c r="F28" s="30">
        <f>+((((1+VLOOKUP(A28,'Inflación BE'!A:K,11))^3)/((1+E28)^2))^(1/1))-1</f>
        <v>2.0741220889359813E-2</v>
      </c>
      <c r="G28" s="30">
        <f>+((((1+VLOOKUP(A28,'Inflación BE'!A:O,15))^7)/((1+VLOOKUP(A28,'Inflación BE'!A:K,11))^3))^(1/4))-1</f>
        <v>1.6673809535833639E-2</v>
      </c>
      <c r="H28" s="30">
        <f t="shared" si="1"/>
        <v>1.6673809535833639E-2</v>
      </c>
      <c r="I28" s="30">
        <f t="shared" si="2"/>
        <v>1.6673809535833639E-2</v>
      </c>
      <c r="J28" s="30">
        <f t="shared" si="3"/>
        <v>1.6673809535833639E-2</v>
      </c>
      <c r="K28" s="30">
        <f>+((((1+VLOOKUP(A28,'Inflación BE'!A:W,23))^12)/((1+VLOOKUP(A28,'Inflación BE'!A:O,15))^7))^(1/5))-1</f>
        <v>1.2985997421717466E-2</v>
      </c>
      <c r="L28" s="30">
        <f t="shared" si="4"/>
        <v>1.2985997421717466E-2</v>
      </c>
      <c r="M28" s="30">
        <f t="shared" si="5"/>
        <v>1.2985997421717466E-2</v>
      </c>
      <c r="N28" s="30">
        <f t="shared" si="6"/>
        <v>1.2985997421717466E-2</v>
      </c>
      <c r="O28" s="30">
        <f t="shared" si="7"/>
        <v>1.2985997421717466E-2</v>
      </c>
      <c r="P28" s="30">
        <f t="shared" si="8"/>
        <v>0.22811707218056054</v>
      </c>
    </row>
    <row r="29" spans="1:16" x14ac:dyDescent="0.4">
      <c r="A29" s="32">
        <f>+'Inflación BE'!A58</f>
        <v>46058</v>
      </c>
      <c r="B29" s="35">
        <v>2.8452719345717137E-2</v>
      </c>
      <c r="C29" s="30">
        <f>+VLOOKUP(A29,'Inflación BE'!A:G,7)</f>
        <v>2.584845766233812E-2</v>
      </c>
      <c r="D29" s="30">
        <f>+VLOOKUP(A29,'Inflación BE'!A:S,19)</f>
        <v>2.2859722504323221E-2</v>
      </c>
      <c r="E29" s="30">
        <f t="shared" si="0"/>
        <v>2.2859722504323221E-2</v>
      </c>
      <c r="F29" s="30">
        <f>+((((1+VLOOKUP(A29,'Inflación BE'!A:K,11))^3)/((1+E29)^2))^(1/1))-1</f>
        <v>2.2705364080821244E-2</v>
      </c>
      <c r="G29" s="30">
        <f>+((((1+VLOOKUP(A29,'Inflación BE'!A:O,15))^7)/((1+VLOOKUP(A29,'Inflación BE'!A:K,11))^3))^(1/4))-1</f>
        <v>1.6482979830620526E-2</v>
      </c>
      <c r="H29" s="30">
        <f t="shared" si="1"/>
        <v>1.6482979830620526E-2</v>
      </c>
      <c r="I29" s="30">
        <f t="shared" si="2"/>
        <v>1.6482979830620526E-2</v>
      </c>
      <c r="J29" s="30">
        <f t="shared" si="3"/>
        <v>1.6482979830620526E-2</v>
      </c>
      <c r="K29" s="30">
        <f>+((((1+VLOOKUP(A29,'Inflación BE'!A:W,23))^12)/((1+VLOOKUP(A29,'Inflación BE'!A:O,15))^7))^(1/5))-1</f>
        <v>1.3774033378070927E-2</v>
      </c>
      <c r="L29" s="30">
        <f t="shared" si="4"/>
        <v>1.3774033378070927E-2</v>
      </c>
      <c r="M29" s="30">
        <f t="shared" si="5"/>
        <v>1.3774033378070927E-2</v>
      </c>
      <c r="N29" s="30">
        <f t="shared" si="6"/>
        <v>1.3774033378070927E-2</v>
      </c>
      <c r="O29" s="30">
        <f t="shared" si="7"/>
        <v>1.3774033378070927E-2</v>
      </c>
      <c r="P29" s="30">
        <f t="shared" si="8"/>
        <v>0.23774447301003487</v>
      </c>
    </row>
    <row r="30" spans="1:16" x14ac:dyDescent="0.4">
      <c r="A30" s="32">
        <f>+'Inflación BE'!A59</f>
        <v>46059</v>
      </c>
      <c r="B30" s="35">
        <v>2.8452719345717137E-2</v>
      </c>
      <c r="C30" s="30">
        <f>+VLOOKUP(A30,'Inflación BE'!A:G,7)</f>
        <v>2.7342389514768417E-2</v>
      </c>
      <c r="D30" s="30">
        <f>+VLOOKUP(A30,'Inflación BE'!A:S,19)</f>
        <v>2.360286131523881E-2</v>
      </c>
      <c r="E30" s="30">
        <f t="shared" si="0"/>
        <v>2.360286131523881E-2</v>
      </c>
      <c r="F30" s="30">
        <f>+((((1+VLOOKUP(A30,'Inflación BE'!A:K,11))^3)/((1+E30)^2))^(1/1))-1</f>
        <v>2.2576266735976791E-2</v>
      </c>
      <c r="G30" s="30">
        <f>+((((1+VLOOKUP(A30,'Inflación BE'!A:O,15))^7)/((1+VLOOKUP(A30,'Inflación BE'!A:K,11))^3))^(1/4))-1</f>
        <v>1.7362683051366901E-2</v>
      </c>
      <c r="H30" s="30">
        <f t="shared" si="1"/>
        <v>1.7362683051366901E-2</v>
      </c>
      <c r="I30" s="30">
        <f t="shared" si="2"/>
        <v>1.7362683051366901E-2</v>
      </c>
      <c r="J30" s="30">
        <f t="shared" si="3"/>
        <v>1.7362683051366901E-2</v>
      </c>
      <c r="K30" s="30">
        <f>+((((1+VLOOKUP(A30,'Inflación BE'!A:W,23))^12)/((1+VLOOKUP(A30,'Inflación BE'!A:O,15))^7))^(1/5))-1</f>
        <v>1.2949121378984518E-2</v>
      </c>
      <c r="L30" s="30">
        <f t="shared" si="4"/>
        <v>1.2949121378984518E-2</v>
      </c>
      <c r="M30" s="30">
        <f t="shared" si="5"/>
        <v>1.2949121378984518E-2</v>
      </c>
      <c r="N30" s="30">
        <f t="shared" si="6"/>
        <v>1.2949121378984518E-2</v>
      </c>
      <c r="O30" s="30">
        <f t="shared" si="7"/>
        <v>1.2949121378984518E-2</v>
      </c>
      <c r="P30" s="30">
        <f t="shared" si="8"/>
        <v>0.24144545297531983</v>
      </c>
    </row>
    <row r="31" spans="1:16" x14ac:dyDescent="0.4">
      <c r="A31" s="32">
        <f>+'Inflación BE'!A60</f>
        <v>46062</v>
      </c>
      <c r="B31" s="35">
        <v>2.8452719345717137E-2</v>
      </c>
      <c r="C31" s="30">
        <f>+VLOOKUP(A31,'Inflación BE'!A:G,7)</f>
        <v>2.6349908320811188E-2</v>
      </c>
      <c r="D31" s="30">
        <f>+VLOOKUP(A31,'Inflación BE'!A:S,19)</f>
        <v>2.3006987715011418E-2</v>
      </c>
      <c r="E31" s="30">
        <f t="shared" si="0"/>
        <v>2.3006987715011418E-2</v>
      </c>
      <c r="F31" s="30">
        <f>+((((1+VLOOKUP(A31,'Inflación BE'!A:K,11))^3)/((1+E31)^2))^(1/1))-1</f>
        <v>2.4381940098128219E-2</v>
      </c>
      <c r="G31" s="30">
        <f>+((((1+VLOOKUP(A31,'Inflación BE'!A:O,15))^7)/((1+VLOOKUP(A31,'Inflación BE'!A:K,11))^3))^(1/4))-1</f>
        <v>1.8025220008480947E-2</v>
      </c>
      <c r="H31" s="30">
        <f t="shared" si="1"/>
        <v>1.8025220008480947E-2</v>
      </c>
      <c r="I31" s="30">
        <f t="shared" si="2"/>
        <v>1.8025220008480947E-2</v>
      </c>
      <c r="J31" s="30">
        <f t="shared" si="3"/>
        <v>1.8025220008480947E-2</v>
      </c>
      <c r="K31" s="30">
        <f>+((((1+VLOOKUP(A31,'Inflación BE'!A:W,23))^12)/((1+VLOOKUP(A31,'Inflación BE'!A:O,15))^7))^(1/5))-1</f>
        <v>1.2629270558380368E-2</v>
      </c>
      <c r="L31" s="30">
        <f t="shared" si="4"/>
        <v>1.2629270558380368E-2</v>
      </c>
      <c r="M31" s="30">
        <f t="shared" si="5"/>
        <v>1.2629270558380368E-2</v>
      </c>
      <c r="N31" s="30">
        <f t="shared" si="6"/>
        <v>1.2629270558380368E-2</v>
      </c>
      <c r="O31" s="30">
        <f t="shared" si="7"/>
        <v>1.2629270558380368E-2</v>
      </c>
      <c r="P31" s="30">
        <f t="shared" si="8"/>
        <v>0.24265512949233181</v>
      </c>
    </row>
    <row r="32" spans="1:16" x14ac:dyDescent="0.4">
      <c r="A32" s="32">
        <f>+'Inflación BE'!A61</f>
        <v>46063</v>
      </c>
      <c r="B32" s="35">
        <v>2.8452719345717137E-2</v>
      </c>
      <c r="C32" s="30">
        <f>+VLOOKUP(A32,'Inflación BE'!A:G,7)</f>
        <v>3.0218126635739972E-2</v>
      </c>
      <c r="D32" s="30">
        <f>+VLOOKUP(A32,'Inflación BE'!A:S,19)</f>
        <v>2.4180327793327239E-2</v>
      </c>
      <c r="E32" s="30">
        <f t="shared" si="0"/>
        <v>2.4180327793327239E-2</v>
      </c>
      <c r="F32" s="30">
        <f>+((((1+VLOOKUP(A32,'Inflación BE'!A:K,11))^3)/((1+E32)^2))^(1/1))-1</f>
        <v>2.3070151151553642E-2</v>
      </c>
      <c r="G32" s="30">
        <f>+((((1+VLOOKUP(A32,'Inflación BE'!A:O,15))^7)/((1+VLOOKUP(A32,'Inflación BE'!A:K,11))^3))^(1/4))-1</f>
        <v>1.8102813574512933E-2</v>
      </c>
      <c r="H32" s="30">
        <f t="shared" si="1"/>
        <v>1.8102813574512933E-2</v>
      </c>
      <c r="I32" s="30">
        <f t="shared" si="2"/>
        <v>1.8102813574512933E-2</v>
      </c>
      <c r="J32" s="30">
        <f t="shared" si="3"/>
        <v>1.8102813574512933E-2</v>
      </c>
      <c r="K32" s="30">
        <f>+((((1+VLOOKUP(A32,'Inflación BE'!A:W,23))^12)/((1+VLOOKUP(A32,'Inflación BE'!A:O,15))^7))^(1/5))-1</f>
        <v>1.2064885843000361E-2</v>
      </c>
      <c r="L32" s="30">
        <f t="shared" si="4"/>
        <v>1.2064885843000361E-2</v>
      </c>
      <c r="M32" s="30">
        <f t="shared" si="5"/>
        <v>1.2064885843000361E-2</v>
      </c>
      <c r="N32" s="30">
        <f t="shared" si="6"/>
        <v>1.2064885843000361E-2</v>
      </c>
      <c r="O32" s="30">
        <f t="shared" si="7"/>
        <v>1.2064885843000361E-2</v>
      </c>
      <c r="P32" s="30">
        <f t="shared" si="8"/>
        <v>0.24619911693081975</v>
      </c>
    </row>
    <row r="33" spans="1:16" x14ac:dyDescent="0.4">
      <c r="A33" s="34">
        <f>+'Inflación BE'!A62</f>
        <v>46064</v>
      </c>
      <c r="B33" s="35">
        <v>2.8452719345717137E-2</v>
      </c>
      <c r="C33" s="15">
        <v>2.881619353661713E-2</v>
      </c>
      <c r="D33" s="30">
        <f>+VLOOKUP(A33,'Inflación BE'!A:S,19)</f>
        <v>2.4063761374320203E-2</v>
      </c>
      <c r="E33" s="30">
        <f t="shared" ref="E33:E38" si="9">+D33</f>
        <v>2.4063761374320203E-2</v>
      </c>
      <c r="F33" s="30">
        <f>+((((1+VLOOKUP(A33,'Inflación BE'!A:K,11))^3)/((1+E33)^2))^(1/1))-1</f>
        <v>2.4024089686249139E-2</v>
      </c>
      <c r="G33" s="30">
        <f>+((((1+VLOOKUP(A33,'Inflación BE'!A:O,15))^7)/((1+VLOOKUP(A33,'Inflación BE'!A:K,11))^3))^(1/4))-1</f>
        <v>1.6515430901334671E-2</v>
      </c>
      <c r="H33" s="30">
        <f t="shared" ref="H33:H38" si="10">+G33</f>
        <v>1.6515430901334671E-2</v>
      </c>
      <c r="I33" s="30">
        <f t="shared" ref="I33:I38" si="11">+H33</f>
        <v>1.6515430901334671E-2</v>
      </c>
      <c r="J33" s="30">
        <f t="shared" ref="J33:J38" si="12">+I33</f>
        <v>1.6515430901334671E-2</v>
      </c>
      <c r="K33" s="30">
        <f>+((((1+VLOOKUP(A33,'Inflación BE'!A:W,23))^12)/((1+VLOOKUP(A33,'Inflación BE'!A:O,15))^7))^(1/5))-1</f>
        <v>1.324478274213492E-2</v>
      </c>
      <c r="L33" s="30">
        <f t="shared" ref="L33:L38" si="13">+K33</f>
        <v>1.324478274213492E-2</v>
      </c>
      <c r="M33" s="30">
        <f t="shared" ref="M33:M38" si="14">+L33</f>
        <v>1.324478274213492E-2</v>
      </c>
      <c r="N33" s="30">
        <f t="shared" ref="N33:N38" si="15">+M33</f>
        <v>1.324478274213492E-2</v>
      </c>
      <c r="O33" s="30">
        <f t="shared" ref="O33:O38" si="16">+N33</f>
        <v>1.324478274213492E-2</v>
      </c>
      <c r="P33" s="30">
        <f t="shared" si="8"/>
        <v>0.24341289904894703</v>
      </c>
    </row>
    <row r="34" spans="1:16" x14ac:dyDescent="0.4">
      <c r="A34" s="32">
        <f>+'Inflación BE'!A63</f>
        <v>46065</v>
      </c>
      <c r="B34" s="35">
        <v>2.8452719345717137E-2</v>
      </c>
      <c r="C34" s="15">
        <v>2.881619353661713E-2</v>
      </c>
      <c r="D34" s="30">
        <f>+VLOOKUP(A34,'Inflación BE'!A:S,19)</f>
        <v>2.2255101134347255E-2</v>
      </c>
      <c r="E34" s="30">
        <f t="shared" si="9"/>
        <v>2.2255101134347255E-2</v>
      </c>
      <c r="F34" s="30">
        <f>+((((1+VLOOKUP(A34,'Inflación BE'!A:K,11))^3)/((1+E34)^2))^(1/1))-1</f>
        <v>1.9194273960011499E-2</v>
      </c>
      <c r="G34" s="30">
        <f>+((((1+VLOOKUP(A34,'Inflación BE'!A:O,15))^7)/((1+VLOOKUP(A34,'Inflación BE'!A:K,11))^3))^(1/4))-1</f>
        <v>1.6585918602626037E-2</v>
      </c>
      <c r="H34" s="30">
        <f t="shared" si="10"/>
        <v>1.6585918602626037E-2</v>
      </c>
      <c r="I34" s="30">
        <f t="shared" si="11"/>
        <v>1.6585918602626037E-2</v>
      </c>
      <c r="J34" s="30">
        <f t="shared" si="12"/>
        <v>1.6585918602626037E-2</v>
      </c>
      <c r="K34" s="30">
        <f>+((((1+VLOOKUP(A34,'Inflación BE'!A:W,23))^12)/((1+VLOOKUP(A34,'Inflación BE'!A:O,15))^7))^(1/5))-1</f>
        <v>1.2369391514890804E-2</v>
      </c>
      <c r="L34" s="30">
        <f t="shared" si="13"/>
        <v>1.2369391514890804E-2</v>
      </c>
      <c r="M34" s="30">
        <f t="shared" si="14"/>
        <v>1.2369391514890804E-2</v>
      </c>
      <c r="N34" s="30">
        <f t="shared" si="15"/>
        <v>1.2369391514890804E-2</v>
      </c>
      <c r="O34" s="30">
        <f t="shared" si="16"/>
        <v>1.2369391514890804E-2</v>
      </c>
      <c r="P34" s="30">
        <f t="shared" si="8"/>
        <v>0.22926558219874327</v>
      </c>
    </row>
    <row r="35" spans="1:16" x14ac:dyDescent="0.4">
      <c r="A35" s="32">
        <f>+'Inflación BE'!A64</f>
        <v>46066</v>
      </c>
      <c r="B35" s="35">
        <v>2.8452719345717137E-2</v>
      </c>
      <c r="C35" s="15">
        <v>2.881619353661713E-2</v>
      </c>
      <c r="D35" s="30">
        <f>+VLOOKUP(A35,'Inflación BE'!A:S,19)</f>
        <v>2.3606379091015262E-2</v>
      </c>
      <c r="E35" s="30">
        <f t="shared" si="9"/>
        <v>2.3606379091015262E-2</v>
      </c>
      <c r="F35" s="30">
        <f>+((((1+VLOOKUP(A35,'Inflación BE'!A:K,11))^3)/((1+E35)^2))^(1/1))-1</f>
        <v>1.8060653139387428E-2</v>
      </c>
      <c r="G35" s="30">
        <f>+((((1+VLOOKUP(A35,'Inflación BE'!A:O,15))^7)/((1+VLOOKUP(A35,'Inflación BE'!A:K,11))^3))^(1/4))-1</f>
        <v>1.5035351481405002E-2</v>
      </c>
      <c r="H35" s="30">
        <f t="shared" si="10"/>
        <v>1.5035351481405002E-2</v>
      </c>
      <c r="I35" s="30">
        <f t="shared" si="11"/>
        <v>1.5035351481405002E-2</v>
      </c>
      <c r="J35" s="30">
        <f t="shared" si="12"/>
        <v>1.5035351481405002E-2</v>
      </c>
      <c r="K35" s="30">
        <f>+((((1+VLOOKUP(A35,'Inflación BE'!A:W,23))^12)/((1+VLOOKUP(A35,'Inflación BE'!A:O,15))^7))^(1/5))-1</f>
        <v>1.4368128978212935E-2</v>
      </c>
      <c r="L35" s="30">
        <f t="shared" si="13"/>
        <v>1.4368128978212935E-2</v>
      </c>
      <c r="M35" s="30">
        <f t="shared" si="14"/>
        <v>1.4368128978212935E-2</v>
      </c>
      <c r="N35" s="30">
        <f t="shared" si="15"/>
        <v>1.4368128978212935E-2</v>
      </c>
      <c r="O35" s="30">
        <f t="shared" si="16"/>
        <v>1.4368128978212935E-2</v>
      </c>
      <c r="P35" s="30">
        <f t="shared" si="8"/>
        <v>0.23334468182553691</v>
      </c>
    </row>
    <row r="36" spans="1:16" x14ac:dyDescent="0.4">
      <c r="A36" s="32">
        <f>+'Inflación BE'!A65</f>
        <v>46071</v>
      </c>
      <c r="B36" s="35">
        <v>2.8452719345717137E-2</v>
      </c>
      <c r="C36" s="15">
        <v>2.881619353661713E-2</v>
      </c>
      <c r="D36" s="30">
        <f>+VLOOKUP(A36,'Inflación BE'!A:S,19)</f>
        <v>2.3155445549613241E-2</v>
      </c>
      <c r="E36" s="30">
        <f t="shared" si="9"/>
        <v>2.3155445549613241E-2</v>
      </c>
      <c r="F36" s="30">
        <f>+((((1+VLOOKUP(A36,'Inflación BE'!A:K,11))^3)/((1+E36)^2))^(1/1))-1</f>
        <v>1.6572585902910886E-2</v>
      </c>
      <c r="G36" s="30">
        <f>+((((1+VLOOKUP(A36,'Inflación BE'!A:O,15))^7)/((1+VLOOKUP(A36,'Inflación BE'!A:K,11))^3))^(1/4))-1</f>
        <v>1.551013990171346E-2</v>
      </c>
      <c r="H36" s="30">
        <f t="shared" si="10"/>
        <v>1.551013990171346E-2</v>
      </c>
      <c r="I36" s="30">
        <f t="shared" si="11"/>
        <v>1.551013990171346E-2</v>
      </c>
      <c r="J36" s="30">
        <f t="shared" si="12"/>
        <v>1.551013990171346E-2</v>
      </c>
      <c r="K36" s="30">
        <f>+((((1+VLOOKUP(A36,'Inflación BE'!A:W,23))^12)/((1+VLOOKUP(A36,'Inflación BE'!A:O,15))^7))^(1/5))-1</f>
        <v>1.426775404183811E-2</v>
      </c>
      <c r="L36" s="30">
        <f t="shared" si="13"/>
        <v>1.426775404183811E-2</v>
      </c>
      <c r="M36" s="30">
        <f t="shared" si="14"/>
        <v>1.426775404183811E-2</v>
      </c>
      <c r="N36" s="30">
        <f t="shared" si="15"/>
        <v>1.426775404183811E-2</v>
      </c>
      <c r="O36" s="30">
        <f t="shared" si="16"/>
        <v>1.426775404183811E-2</v>
      </c>
      <c r="P36" s="30">
        <f t="shared" si="8"/>
        <v>0.23227306561667138</v>
      </c>
    </row>
    <row r="37" spans="1:16" x14ac:dyDescent="0.4">
      <c r="A37" s="32">
        <f>+'Inflación BE'!A66</f>
        <v>46072</v>
      </c>
      <c r="B37" s="35">
        <v>2.8452719345717137E-2</v>
      </c>
      <c r="C37" s="15">
        <v>2.881619353661713E-2</v>
      </c>
      <c r="D37" s="30">
        <f>+VLOOKUP(A37,'Inflación BE'!A:S,19)</f>
        <v>2.3155484399834059E-2</v>
      </c>
      <c r="E37" s="30">
        <f t="shared" si="9"/>
        <v>2.3155484399834059E-2</v>
      </c>
      <c r="F37" s="30">
        <f>+((((1+VLOOKUP(A37,'Inflación BE'!A:K,11))^3)/((1+E37)^2))^(1/1))-1</f>
        <v>2.0917863055500918E-2</v>
      </c>
      <c r="G37" s="30">
        <f>+((((1+VLOOKUP(A37,'Inflación BE'!A:O,15))^7)/((1+VLOOKUP(A37,'Inflación BE'!A:K,11))^3))^(1/4))-1</f>
        <v>1.4070474100369657E-2</v>
      </c>
      <c r="H37" s="30">
        <f t="shared" si="10"/>
        <v>1.4070474100369657E-2</v>
      </c>
      <c r="I37" s="30">
        <f t="shared" si="11"/>
        <v>1.4070474100369657E-2</v>
      </c>
      <c r="J37" s="30">
        <f t="shared" si="12"/>
        <v>1.4070474100369657E-2</v>
      </c>
      <c r="K37" s="30">
        <f>+((((1+VLOOKUP(A37,'Inflación BE'!A:W,23))^12)/((1+VLOOKUP(A37,'Inflación BE'!A:O,15))^7))^(1/5))-1</f>
        <v>1.4986272572089288E-2</v>
      </c>
      <c r="L37" s="30">
        <f t="shared" si="13"/>
        <v>1.4986272572089288E-2</v>
      </c>
      <c r="M37" s="30">
        <f t="shared" si="14"/>
        <v>1.4986272572089288E-2</v>
      </c>
      <c r="N37" s="30">
        <f t="shared" si="15"/>
        <v>1.4986272572089288E-2</v>
      </c>
      <c r="O37" s="30">
        <f t="shared" si="16"/>
        <v>1.4986272572089288E-2</v>
      </c>
      <c r="P37" s="30">
        <f t="shared" si="8"/>
        <v>0.23402822486729513</v>
      </c>
    </row>
    <row r="38" spans="1:16" x14ac:dyDescent="0.4">
      <c r="A38" s="32">
        <f>+'Inflación BE'!A67</f>
        <v>46073</v>
      </c>
      <c r="B38" s="35">
        <v>2.8452719345717137E-2</v>
      </c>
      <c r="C38" s="15">
        <v>2.881619353661713E-2</v>
      </c>
      <c r="D38" s="30">
        <f>+VLOOKUP(A38,'Inflación BE'!A:S,19)</f>
        <v>2.3785638132601372E-2</v>
      </c>
      <c r="E38" s="30">
        <f t="shared" si="9"/>
        <v>2.3785638132601372E-2</v>
      </c>
      <c r="F38" s="30">
        <f>+((((1+VLOOKUP(A38,'Inflación BE'!A:K,11))^3)/((1+E38)^2))^(1/1))-1</f>
        <v>1.9100153879551884E-2</v>
      </c>
      <c r="G38" s="30">
        <f>+((((1+VLOOKUP(A38,'Inflación BE'!A:O,15))^7)/((1+VLOOKUP(A38,'Inflación BE'!A:K,11))^3))^(1/4))-1</f>
        <v>1.3027273287510743E-2</v>
      </c>
      <c r="H38" s="30">
        <f t="shared" si="10"/>
        <v>1.3027273287510743E-2</v>
      </c>
      <c r="I38" s="30">
        <f t="shared" si="11"/>
        <v>1.3027273287510743E-2</v>
      </c>
      <c r="J38" s="30">
        <f t="shared" si="12"/>
        <v>1.3027273287510743E-2</v>
      </c>
      <c r="K38" s="30">
        <f>+((((1+VLOOKUP(A38,'Inflación BE'!A:W,23))^12)/((1+VLOOKUP(A38,'Inflación BE'!A:O,15))^7))^(1/5))-1</f>
        <v>1.5910305940734393E-2</v>
      </c>
      <c r="L38" s="30">
        <f t="shared" si="13"/>
        <v>1.5910305940734393E-2</v>
      </c>
      <c r="M38" s="30">
        <f t="shared" si="14"/>
        <v>1.5910305940734393E-2</v>
      </c>
      <c r="N38" s="30">
        <f t="shared" si="15"/>
        <v>1.5910305940734393E-2</v>
      </c>
      <c r="O38" s="30">
        <f t="shared" si="16"/>
        <v>1.5910305940734393E-2</v>
      </c>
      <c r="P38" s="30">
        <f t="shared" si="8"/>
        <v>0.23276058416656675</v>
      </c>
    </row>
    <row r="39" spans="1:16" x14ac:dyDescent="0.4">
      <c r="A39" s="32">
        <f>+'Inflación BE'!A68</f>
        <v>46076</v>
      </c>
      <c r="B39" s="35">
        <v>2.8452719345717137E-2</v>
      </c>
      <c r="C39" s="15">
        <v>2.881619353661713E-2</v>
      </c>
      <c r="D39" s="30">
        <f>+VLOOKUP(A39,'Inflación BE'!A:S,19)</f>
        <v>2.2901809191195888E-2</v>
      </c>
      <c r="E39" s="30">
        <f t="shared" si="0"/>
        <v>2.2901809191195888E-2</v>
      </c>
      <c r="F39" s="30">
        <f>+((((1+VLOOKUP(A39,'Inflación BE'!A:K,11))^3)/((1+E39)^2))^(1/1))-1</f>
        <v>1.8997689801418138E-2</v>
      </c>
      <c r="G39" s="30">
        <f>+((((1+VLOOKUP(A39,'Inflación BE'!A:O,15))^7)/((1+VLOOKUP(A39,'Inflación BE'!A:K,11))^3))^(1/4))-1</f>
        <v>1.4083548844832983E-2</v>
      </c>
      <c r="H39" s="30">
        <f t="shared" si="1"/>
        <v>1.4083548844832983E-2</v>
      </c>
      <c r="I39" s="30">
        <f t="shared" si="2"/>
        <v>1.4083548844832983E-2</v>
      </c>
      <c r="J39" s="30">
        <f t="shared" si="3"/>
        <v>1.4083548844832983E-2</v>
      </c>
      <c r="K39" s="30">
        <f>+((((1+VLOOKUP(A39,'Inflación BE'!A:W,23))^12)/((1+VLOOKUP(A39,'Inflación BE'!A:O,15))^7))^(1/5))-1</f>
        <v>1.4792535180736088E-2</v>
      </c>
      <c r="L39" s="30">
        <f t="shared" si="4"/>
        <v>1.4792535180736088E-2</v>
      </c>
      <c r="M39" s="30">
        <f t="shared" si="5"/>
        <v>1.4792535180736088E-2</v>
      </c>
      <c r="N39" s="30">
        <f t="shared" si="6"/>
        <v>1.4792535180736088E-2</v>
      </c>
      <c r="O39" s="30">
        <f t="shared" si="7"/>
        <v>1.4792535180736088E-2</v>
      </c>
      <c r="P39" s="30">
        <f t="shared" ref="P39:P43" si="17">+((1+C39)*(1+D39)*(1+E39)*(1+F39)*(1+G39)*(1+H39)*(1+I39)*(1+J39)*(1+K39)*(1+L39)*(1+M39)*(1+N39))-1</f>
        <v>0.23022030050099707</v>
      </c>
    </row>
    <row r="40" spans="1:16" x14ac:dyDescent="0.4">
      <c r="A40" s="36">
        <f>+'Inflación BE'!A69</f>
        <v>46077</v>
      </c>
      <c r="B40" s="35">
        <v>2.8452719345717137E-2</v>
      </c>
      <c r="C40" s="15">
        <v>2.881619353661713E-2</v>
      </c>
      <c r="D40" s="30">
        <f>+VLOOKUP(A40,'Inflación BE'!A:S,19)</f>
        <v>2.1271043656068356E-2</v>
      </c>
      <c r="E40" s="30">
        <f t="shared" si="0"/>
        <v>2.1271043656068356E-2</v>
      </c>
      <c r="F40" s="30">
        <f>+((((1+VLOOKUP(A40,'Inflación BE'!A:K,11))^3)/((1+E40)^2))^(1/1))-1</f>
        <v>1.9407705332247449E-2</v>
      </c>
      <c r="G40" s="30">
        <f>+((((1+VLOOKUP(A40,'Inflación BE'!A:O,15))^7)/((1+VLOOKUP(A40,'Inflación BE'!A:K,11))^3))^(1/4))-1</f>
        <v>1.4284863405909398E-2</v>
      </c>
      <c r="H40" s="30">
        <f t="shared" si="1"/>
        <v>1.4284863405909398E-2</v>
      </c>
      <c r="I40" s="30">
        <f t="shared" si="2"/>
        <v>1.4284863405909398E-2</v>
      </c>
      <c r="J40" s="30">
        <f t="shared" si="3"/>
        <v>1.4284863405909398E-2</v>
      </c>
      <c r="K40" s="30">
        <f>+((((1+VLOOKUP(A40,'Inflación BE'!A:W,23))^12)/((1+VLOOKUP(A40,'Inflación BE'!A:O,15))^7))^(1/5))-1</f>
        <v>1.3693457401346976E-2</v>
      </c>
      <c r="L40" s="30">
        <f t="shared" si="4"/>
        <v>1.3693457401346976E-2</v>
      </c>
      <c r="M40" s="30">
        <f t="shared" si="5"/>
        <v>1.3693457401346976E-2</v>
      </c>
      <c r="N40" s="30">
        <f t="shared" si="6"/>
        <v>1.3693457401346976E-2</v>
      </c>
      <c r="O40" s="30">
        <f t="shared" si="7"/>
        <v>1.3693457401346976E-2</v>
      </c>
      <c r="P40" s="30">
        <f t="shared" si="17"/>
        <v>0.22245840705635378</v>
      </c>
    </row>
    <row r="41" spans="1:16" x14ac:dyDescent="0.4">
      <c r="A41" s="36">
        <f>+'Inflación BE'!A70</f>
        <v>46078</v>
      </c>
      <c r="B41" s="35">
        <v>2.8452719345717137E-2</v>
      </c>
      <c r="C41" s="15">
        <v>2.881619353661713E-2</v>
      </c>
      <c r="D41" s="30">
        <f>+VLOOKUP(A41,'Inflación BE'!A:S,19)</f>
        <v>2.2089049586627718E-2</v>
      </c>
      <c r="E41" s="30">
        <f t="shared" si="0"/>
        <v>2.2089049586627718E-2</v>
      </c>
      <c r="F41" s="30">
        <f>+((((1+VLOOKUP(A41,'Inflación BE'!A:K,11))^3)/((1+E41)^2))^(1/1))-1</f>
        <v>1.8285777562997652E-2</v>
      </c>
      <c r="G41" s="30">
        <f>+((((1+VLOOKUP(A41,'Inflación BE'!A:O,15))^7)/((1+VLOOKUP(A41,'Inflación BE'!A:K,11))^3))^(1/4))-1</f>
        <v>1.4718520552721825E-2</v>
      </c>
      <c r="H41" s="30">
        <f t="shared" si="1"/>
        <v>1.4718520552721825E-2</v>
      </c>
      <c r="I41" s="30">
        <f t="shared" si="2"/>
        <v>1.4718520552721825E-2</v>
      </c>
      <c r="J41" s="30">
        <f t="shared" si="3"/>
        <v>1.4718520552721825E-2</v>
      </c>
      <c r="K41" s="30">
        <f>+((((1+VLOOKUP(A41,'Inflación BE'!A:W,23))^12)/((1+VLOOKUP(A41,'Inflación BE'!A:O,15))^7))^(1/5))-1</f>
        <v>1.2820232378322194E-2</v>
      </c>
      <c r="L41" s="30">
        <f t="shared" si="4"/>
        <v>1.2820232378322194E-2</v>
      </c>
      <c r="M41" s="30">
        <f t="shared" si="5"/>
        <v>1.2820232378322194E-2</v>
      </c>
      <c r="N41" s="30">
        <f t="shared" si="6"/>
        <v>1.2820232378322194E-2</v>
      </c>
      <c r="O41" s="30">
        <f t="shared" si="7"/>
        <v>1.2820232378322194E-2</v>
      </c>
      <c r="P41" s="30">
        <f t="shared" si="17"/>
        <v>0.22094685968714689</v>
      </c>
    </row>
    <row r="42" spans="1:16" x14ac:dyDescent="0.4">
      <c r="A42" s="36">
        <f>+'Inflación BE'!A71</f>
        <v>46079</v>
      </c>
      <c r="B42" s="35">
        <v>2.8452719345717137E-2</v>
      </c>
      <c r="C42" s="15">
        <v>2.881619353661713E-2</v>
      </c>
      <c r="D42" s="30">
        <f>+VLOOKUP(A42,'Inflación BE'!A:S,19)</f>
        <v>2.1156696554071042E-2</v>
      </c>
      <c r="E42" s="30">
        <f t="shared" si="0"/>
        <v>2.1156696554071042E-2</v>
      </c>
      <c r="F42" s="30">
        <f>+((((1+VLOOKUP(A42,'Inflación BE'!A:K,11))^3)/((1+E42)^2))^(1/1))-1</f>
        <v>2.1576525516733058E-2</v>
      </c>
      <c r="G42" s="30">
        <f>+((((1+VLOOKUP(A42,'Inflación BE'!A:O,15))^7)/((1+VLOOKUP(A42,'Inflación BE'!A:K,11))^3))^(1/4))-1</f>
        <v>1.4776835469578087E-2</v>
      </c>
      <c r="H42" s="30">
        <f t="shared" si="1"/>
        <v>1.4776835469578087E-2</v>
      </c>
      <c r="I42" s="30">
        <f t="shared" si="2"/>
        <v>1.4776835469578087E-2</v>
      </c>
      <c r="J42" s="30">
        <f t="shared" si="3"/>
        <v>1.4776835469578087E-2</v>
      </c>
      <c r="K42" s="30">
        <f>+((((1+VLOOKUP(A42,'Inflación BE'!A:W,23))^12)/((1+VLOOKUP(A42,'Inflación BE'!A:O,15))^7))^(1/5))-1</f>
        <v>1.2454548749184946E-2</v>
      </c>
      <c r="L42" s="30">
        <f t="shared" si="4"/>
        <v>1.2454548749184946E-2</v>
      </c>
      <c r="M42" s="30">
        <f t="shared" si="5"/>
        <v>1.2454548749184946E-2</v>
      </c>
      <c r="N42" s="30">
        <f t="shared" si="6"/>
        <v>1.2454548749184946E-2</v>
      </c>
      <c r="O42" s="30">
        <f t="shared" si="7"/>
        <v>1.2454548749184946E-2</v>
      </c>
      <c r="P42" s="30">
        <f t="shared" si="17"/>
        <v>0.22117470271249129</v>
      </c>
    </row>
    <row r="43" spans="1:16" x14ac:dyDescent="0.4">
      <c r="A43" s="36">
        <f>+'Inflación BE'!A72</f>
        <v>46080</v>
      </c>
      <c r="B43" s="35">
        <v>2.8452719345717137E-2</v>
      </c>
      <c r="C43" s="15">
        <v>2.881619353661713E-2</v>
      </c>
      <c r="D43" s="30">
        <f>+VLOOKUP(A43,'Inflación BE'!A:S,19)</f>
        <v>2.259856913900804E-2</v>
      </c>
      <c r="E43" s="30">
        <f t="shared" si="0"/>
        <v>2.259856913900804E-2</v>
      </c>
      <c r="F43" s="30">
        <f>+((((1+VLOOKUP(A43,'Inflación BE'!A:K,11))^3)/((1+E43)^2))^(1/1))-1</f>
        <v>1.8195998741861619E-2</v>
      </c>
      <c r="G43" s="30">
        <f>+((((1+VLOOKUP(A43,'Inflación BE'!A:O,15))^7)/((1+VLOOKUP(A43,'Inflación BE'!A:K,11))^3))^(1/4))-1</f>
        <v>1.7154875572294781E-2</v>
      </c>
      <c r="H43" s="30">
        <f t="shared" si="1"/>
        <v>1.7154875572294781E-2</v>
      </c>
      <c r="I43" s="30">
        <f t="shared" si="2"/>
        <v>1.7154875572294781E-2</v>
      </c>
      <c r="J43" s="30">
        <f t="shared" si="3"/>
        <v>1.7154875572294781E-2</v>
      </c>
      <c r="K43" s="30">
        <f>+((((1+VLOOKUP(A43,'Inflación BE'!A:W,23))^12)/((1+VLOOKUP(A43,'Inflación BE'!A:O,15))^7))^(1/5))-1</f>
        <v>1.1571368863600107E-2</v>
      </c>
      <c r="L43" s="30">
        <f t="shared" si="4"/>
        <v>1.1571368863600107E-2</v>
      </c>
      <c r="M43" s="30">
        <f t="shared" si="5"/>
        <v>1.1571368863600107E-2</v>
      </c>
      <c r="N43" s="30">
        <f t="shared" si="6"/>
        <v>1.1571368863600107E-2</v>
      </c>
      <c r="O43" s="30">
        <f t="shared" si="7"/>
        <v>1.1571368863600107E-2</v>
      </c>
      <c r="P43" s="30">
        <f t="shared" si="17"/>
        <v>0.22776145408756077</v>
      </c>
    </row>
    <row r="44" spans="1:16" x14ac:dyDescent="0.4">
      <c r="A44" s="36">
        <f>+'Inflación BE'!A73</f>
        <v>46083</v>
      </c>
      <c r="B44" s="35">
        <v>2.8452719345717137E-2</v>
      </c>
      <c r="C44" s="15">
        <v>2.881619353661713E-2</v>
      </c>
      <c r="D44" s="30">
        <f>+VLOOKUP(A44,'Inflación BE'!A:S,19)</f>
        <v>2.242615725042052E-2</v>
      </c>
      <c r="E44" s="30">
        <f t="shared" si="0"/>
        <v>2.242615725042052E-2</v>
      </c>
      <c r="F44" s="30">
        <f>+((((1+VLOOKUP(A44,'Inflación BE'!A:K,11))^3)/((1+E44)^2))^(1/1))-1</f>
        <v>1.6548414094499808E-2</v>
      </c>
      <c r="G44" s="30">
        <f>+((((1+VLOOKUP(A44,'Inflación BE'!A:O,15))^7)/((1+VLOOKUP(A44,'Inflación BE'!A:K,11))^3))^(1/4))-1</f>
        <v>1.5209946244989281E-2</v>
      </c>
      <c r="H44" s="30">
        <f t="shared" si="1"/>
        <v>1.5209946244989281E-2</v>
      </c>
      <c r="I44" s="30">
        <f t="shared" si="2"/>
        <v>1.5209946244989281E-2</v>
      </c>
      <c r="J44" s="30">
        <f t="shared" si="3"/>
        <v>1.5209946244989281E-2</v>
      </c>
      <c r="K44" s="30">
        <f>+((((1+VLOOKUP(A44,'Inflación BE'!A:W,23))^12)/((1+VLOOKUP(A44,'Inflación BE'!A:O,15))^7))^(1/5))-1</f>
        <v>1.3884270782326569E-2</v>
      </c>
      <c r="L44" s="30">
        <f t="shared" si="4"/>
        <v>1.3884270782326569E-2</v>
      </c>
      <c r="M44" s="30">
        <f t="shared" si="5"/>
        <v>1.3884270782326569E-2</v>
      </c>
      <c r="N44" s="30">
        <f t="shared" si="6"/>
        <v>1.3884270782326569E-2</v>
      </c>
      <c r="O44" s="30">
        <f t="shared" si="7"/>
        <v>1.3884270782326569E-2</v>
      </c>
      <c r="P44" s="30">
        <f t="shared" ref="P44:P45" si="18">+((1+C44)*(1+D44)*(1+E44)*(1+F44)*(1+G44)*(1+H44)*(1+I44)*(1+J44)*(1+K44)*(1+L44)*(1+M44)*(1+N44))-1</f>
        <v>0.22717573726235929</v>
      </c>
    </row>
    <row r="45" spans="1:16" x14ac:dyDescent="0.4">
      <c r="A45" s="36">
        <f>+'Inflación BE'!A74</f>
        <v>46084</v>
      </c>
      <c r="B45" s="35">
        <v>2.8452719345717137E-2</v>
      </c>
      <c r="C45" s="15">
        <v>2.881619353661713E-2</v>
      </c>
      <c r="D45" s="30">
        <f>+VLOOKUP(A45,'Inflación BE'!A:S,19)</f>
        <v>2.3982689438189153E-2</v>
      </c>
      <c r="E45" s="30">
        <f t="shared" si="0"/>
        <v>2.3982689438189153E-2</v>
      </c>
      <c r="F45" s="30">
        <f>+((((1+VLOOKUP(A45,'Inflación BE'!A:K,11))^3)/((1+E45)^2))^(1/1))-1</f>
        <v>1.6682818225341345E-2</v>
      </c>
      <c r="G45" s="30">
        <f>+((((1+VLOOKUP(A45,'Inflación BE'!A:O,15))^7)/((1+VLOOKUP(A45,'Inflación BE'!A:K,11))^3))^(1/4))-1</f>
        <v>1.5201469856847005E-2</v>
      </c>
      <c r="H45" s="30">
        <f t="shared" si="1"/>
        <v>1.5201469856847005E-2</v>
      </c>
      <c r="I45" s="30">
        <f t="shared" si="2"/>
        <v>1.5201469856847005E-2</v>
      </c>
      <c r="J45" s="30">
        <f t="shared" si="3"/>
        <v>1.5201469856847005E-2</v>
      </c>
      <c r="K45" s="30">
        <f>+((((1+VLOOKUP(A45,'Inflación BE'!A:W,23))^12)/((1+VLOOKUP(A45,'Inflación BE'!A:O,15))^7))^(1/5))-1</f>
        <v>1.3768463495205996E-2</v>
      </c>
      <c r="L45" s="30">
        <f t="shared" si="4"/>
        <v>1.3768463495205996E-2</v>
      </c>
      <c r="M45" s="30">
        <f t="shared" si="5"/>
        <v>1.3768463495205996E-2</v>
      </c>
      <c r="N45" s="30">
        <f t="shared" si="6"/>
        <v>1.3768463495205996E-2</v>
      </c>
      <c r="O45" s="30">
        <f t="shared" si="7"/>
        <v>1.3768463495205996E-2</v>
      </c>
      <c r="P45" s="30">
        <f t="shared" si="18"/>
        <v>0.23047434934237288</v>
      </c>
    </row>
    <row r="46" spans="1:16" x14ac:dyDescent="0.4">
      <c r="A46" s="36">
        <f>+'Inflación BE'!A75</f>
        <v>46085</v>
      </c>
      <c r="B46" s="35">
        <v>2.8452719345717137E-2</v>
      </c>
      <c r="C46" s="15">
        <v>2.881619353661713E-2</v>
      </c>
      <c r="D46" s="30">
        <f>+VLOOKUP(A46,'Inflación BE'!A:S,19)</f>
        <v>2.3265302269450006E-2</v>
      </c>
      <c r="E46" s="30">
        <f t="shared" si="0"/>
        <v>2.3265302269450006E-2</v>
      </c>
      <c r="F46" s="30">
        <f>+((((1+VLOOKUP(A46,'Inflación BE'!A:K,11))^3)/((1+E46)^2))^(1/1))-1</f>
        <v>2.0432896256192601E-2</v>
      </c>
      <c r="G46" s="30">
        <f>+((((1+VLOOKUP(A46,'Inflación BE'!A:O,15))^7)/((1+VLOOKUP(A46,'Inflación BE'!A:K,11))^3))^(1/4))-1</f>
        <v>1.5414156089080588E-2</v>
      </c>
      <c r="H46" s="30">
        <f t="shared" si="1"/>
        <v>1.5414156089080588E-2</v>
      </c>
      <c r="I46" s="30">
        <f t="shared" si="2"/>
        <v>1.5414156089080588E-2</v>
      </c>
      <c r="J46" s="30">
        <f t="shared" si="3"/>
        <v>1.5414156089080588E-2</v>
      </c>
      <c r="K46" s="30">
        <f>+((((1+VLOOKUP(A46,'Inflación BE'!A:W,23))^12)/((1+VLOOKUP(A46,'Inflación BE'!A:O,15))^7))^(1/5))-1</f>
        <v>1.3888459264852493E-2</v>
      </c>
      <c r="L46" s="30">
        <f t="shared" si="4"/>
        <v>1.3888459264852493E-2</v>
      </c>
      <c r="M46" s="30">
        <f t="shared" si="5"/>
        <v>1.3888459264852493E-2</v>
      </c>
      <c r="N46" s="30">
        <f t="shared" si="6"/>
        <v>1.3888459264852493E-2</v>
      </c>
      <c r="O46" s="30">
        <f t="shared" si="7"/>
        <v>1.3888459264852493E-2</v>
      </c>
      <c r="P46" s="30">
        <f t="shared" ref="P46" si="19">+((1+C46)*(1+D46)*(1+E46)*(1+F46)*(1+G46)*(1+H46)*(1+I46)*(1+J46)*(1+K46)*(1+L46)*(1+M46)*(1+N46))-1</f>
        <v>0.23490148113193454</v>
      </c>
    </row>
    <row r="47" spans="1:16" x14ac:dyDescent="0.4">
      <c r="A47" s="36">
        <f>+'Inflación BE'!A76</f>
        <v>46086</v>
      </c>
      <c r="B47" s="35">
        <v>2.8452719345717137E-2</v>
      </c>
      <c r="C47" s="15">
        <v>2.881619353661713E-2</v>
      </c>
      <c r="D47" s="30">
        <f>+VLOOKUP(A47,'Inflación BE'!A:S,19)</f>
        <v>2.2677314190975739E-2</v>
      </c>
      <c r="E47" s="30">
        <f t="shared" si="0"/>
        <v>2.2677314190975739E-2</v>
      </c>
      <c r="F47" s="30">
        <f>+((((1+VLOOKUP(A47,'Inflación BE'!A:K,11))^3)/((1+E47)^2))^(1/1))-1</f>
        <v>2.0671392864408888E-2</v>
      </c>
      <c r="G47" s="30">
        <f>+((((1+VLOOKUP(A47,'Inflación BE'!A:O,15))^7)/((1+VLOOKUP(A47,'Inflación BE'!A:K,11))^3))^(1/4))-1</f>
        <v>1.7283705532516347E-2</v>
      </c>
      <c r="H47" s="30">
        <f t="shared" si="1"/>
        <v>1.7283705532516347E-2</v>
      </c>
      <c r="I47" s="30">
        <f t="shared" si="2"/>
        <v>1.7283705532516347E-2</v>
      </c>
      <c r="J47" s="30">
        <f t="shared" si="3"/>
        <v>1.7283705532516347E-2</v>
      </c>
      <c r="K47" s="30">
        <f>+((((1+VLOOKUP(A47,'Inflación BE'!A:W,23))^12)/((1+VLOOKUP(A47,'Inflación BE'!A:O,15))^7))^(1/5))-1</f>
        <v>1.2896541304393772E-2</v>
      </c>
      <c r="L47" s="30">
        <f t="shared" si="4"/>
        <v>1.2896541304393772E-2</v>
      </c>
      <c r="M47" s="30">
        <f t="shared" si="5"/>
        <v>1.2896541304393772E-2</v>
      </c>
      <c r="N47" s="30">
        <f t="shared" si="6"/>
        <v>1.2896541304393772E-2</v>
      </c>
      <c r="O47" s="30">
        <f t="shared" si="7"/>
        <v>1.2896541304393772E-2</v>
      </c>
      <c r="P47" s="30">
        <f t="shared" ref="P47:P48" si="20">+((1+C47)*(1+D47)*(1+E47)*(1+F47)*(1+G47)*(1+H47)*(1+I47)*(1+J47)*(1+K47)*(1+L47)*(1+M47)*(1+N47))-1</f>
        <v>0.23802576742673853</v>
      </c>
    </row>
    <row r="48" spans="1:16" x14ac:dyDescent="0.4">
      <c r="A48" s="36">
        <f>+'Inflación BE'!A77</f>
        <v>46087</v>
      </c>
      <c r="B48" s="35">
        <v>2.8452719345717137E-2</v>
      </c>
      <c r="C48" s="15">
        <v>2.881619353661713E-2</v>
      </c>
      <c r="D48" s="30">
        <f>+VLOOKUP(A48,'Inflación BE'!A:S,19)</f>
        <v>2.4183800971759428E-2</v>
      </c>
      <c r="E48" s="30">
        <f t="shared" si="0"/>
        <v>2.4183800971759428E-2</v>
      </c>
      <c r="F48" s="30">
        <f>+((((1+VLOOKUP(A48,'Inflación BE'!A:K,11))^3)/((1+E48)^2))^(1/1))-1</f>
        <v>1.9796898216975611E-2</v>
      </c>
      <c r="G48" s="30">
        <f>+((((1+VLOOKUP(A48,'Inflación BE'!A:O,15))^7)/((1+VLOOKUP(A48,'Inflación BE'!A:K,11))^3))^(1/4))-1</f>
        <v>1.7047060110361612E-2</v>
      </c>
      <c r="H48" s="30">
        <f t="shared" si="1"/>
        <v>1.7047060110361612E-2</v>
      </c>
      <c r="I48" s="30">
        <f t="shared" si="2"/>
        <v>1.7047060110361612E-2</v>
      </c>
      <c r="J48" s="30">
        <f t="shared" si="3"/>
        <v>1.7047060110361612E-2</v>
      </c>
      <c r="K48" s="30">
        <f>+((((1+VLOOKUP(A48,'Inflación BE'!A:W,23))^12)/((1+VLOOKUP(A48,'Inflación BE'!A:O,15))^7))^(1/5))-1</f>
        <v>1.3239090991230995E-2</v>
      </c>
      <c r="L48" s="30">
        <f t="shared" si="4"/>
        <v>1.3239090991230995E-2</v>
      </c>
      <c r="M48" s="30">
        <f t="shared" si="5"/>
        <v>1.3239090991230995E-2</v>
      </c>
      <c r="N48" s="30">
        <f t="shared" si="6"/>
        <v>1.3239090991230995E-2</v>
      </c>
      <c r="O48" s="30">
        <f t="shared" si="7"/>
        <v>1.3239090991230995E-2</v>
      </c>
      <c r="P48" s="30">
        <f t="shared" si="20"/>
        <v>0.24113557675879882</v>
      </c>
    </row>
    <row r="49" spans="1:16" x14ac:dyDescent="0.4">
      <c r="A49" s="36">
        <f>+'Inflación BE'!A78</f>
        <v>46090</v>
      </c>
      <c r="B49" s="35">
        <v>2.8452719345717137E-2</v>
      </c>
      <c r="C49" s="15">
        <v>2.881619353661713E-2</v>
      </c>
      <c r="D49" s="30">
        <f>+VLOOKUP(A49,'Inflación BE'!A:S,19)</f>
        <v>2.3406181395477565E-2</v>
      </c>
      <c r="E49" s="30">
        <f t="shared" si="0"/>
        <v>2.3406181395477565E-2</v>
      </c>
      <c r="F49" s="30">
        <f>+((((1+VLOOKUP(A49,'Inflación BE'!A:K,11))^3)/((1+E49)^2))^(1/1))-1</f>
        <v>2.0885450436948894E-2</v>
      </c>
      <c r="G49" s="30">
        <f>+((((1+VLOOKUP(A49,'Inflación BE'!A:O,15))^7)/((1+VLOOKUP(A49,'Inflación BE'!A:K,11))^3))^(1/4))-1</f>
        <v>1.7615981402907099E-2</v>
      </c>
      <c r="H49" s="30">
        <f t="shared" si="1"/>
        <v>1.7615981402907099E-2</v>
      </c>
      <c r="I49" s="30">
        <f t="shared" si="2"/>
        <v>1.7615981402907099E-2</v>
      </c>
      <c r="J49" s="30">
        <f t="shared" si="3"/>
        <v>1.7615981402907099E-2</v>
      </c>
      <c r="K49" s="30">
        <f>+((((1+VLOOKUP(A49,'Inflación BE'!A:W,23))^12)/((1+VLOOKUP(A49,'Inflación BE'!A:O,15))^7))^(1/5))-1</f>
        <v>1.2626138512629392E-2</v>
      </c>
      <c r="L49" s="30">
        <f t="shared" si="4"/>
        <v>1.2626138512629392E-2</v>
      </c>
      <c r="M49" s="30">
        <f t="shared" si="5"/>
        <v>1.2626138512629392E-2</v>
      </c>
      <c r="N49" s="30">
        <f t="shared" si="6"/>
        <v>1.2626138512629392E-2</v>
      </c>
      <c r="O49" s="30">
        <f t="shared" si="7"/>
        <v>1.2626138512629392E-2</v>
      </c>
      <c r="P49" s="30">
        <f t="shared" ref="P49:P50" si="21">+((1+C49)*(1+D49)*(1+E49)*(1+F49)*(1+G49)*(1+H49)*(1+I49)*(1+J49)*(1+K49)*(1+L49)*(1+M49)*(1+N49))-1</f>
        <v>0.24034667441942092</v>
      </c>
    </row>
    <row r="50" spans="1:16" x14ac:dyDescent="0.4">
      <c r="A50" s="36">
        <f>+'Inflación BE'!A79</f>
        <v>46091</v>
      </c>
      <c r="B50" s="35">
        <v>2.8452719345717137E-2</v>
      </c>
      <c r="C50" s="15">
        <v>2.881619353661713E-2</v>
      </c>
      <c r="D50" s="30">
        <f>+VLOOKUP(A50,'Inflación BE'!A:S,19)</f>
        <v>2.3939114182418342E-2</v>
      </c>
      <c r="E50" s="30">
        <f t="shared" si="0"/>
        <v>2.3939114182418342E-2</v>
      </c>
      <c r="F50" s="30">
        <f>+((((1+VLOOKUP(A50,'Inflación BE'!A:K,11))^3)/((1+E50)^2))^(1/1))-1</f>
        <v>2.0233150183586179E-2</v>
      </c>
      <c r="G50" s="30">
        <f>+((((1+VLOOKUP(A50,'Inflación BE'!A:O,15))^7)/((1+VLOOKUP(A50,'Inflación BE'!A:K,11))^3))^(1/4))-1</f>
        <v>1.7302811689262176E-2</v>
      </c>
      <c r="H50" s="30">
        <f t="shared" si="1"/>
        <v>1.7302811689262176E-2</v>
      </c>
      <c r="I50" s="30">
        <f t="shared" si="2"/>
        <v>1.7302811689262176E-2</v>
      </c>
      <c r="J50" s="30">
        <f t="shared" si="3"/>
        <v>1.7302811689262176E-2</v>
      </c>
      <c r="K50" s="30">
        <f>+((((1+VLOOKUP(A50,'Inflación BE'!A:W,23))^12)/((1+VLOOKUP(A50,'Inflación BE'!A:O,15))^7))^(1/5))-1</f>
        <v>1.2309334206918487E-2</v>
      </c>
      <c r="L50" s="30">
        <f t="shared" si="4"/>
        <v>1.2309334206918487E-2</v>
      </c>
      <c r="M50" s="30">
        <f t="shared" si="5"/>
        <v>1.2309334206918487E-2</v>
      </c>
      <c r="N50" s="30">
        <f t="shared" si="6"/>
        <v>1.2309334206918487E-2</v>
      </c>
      <c r="O50" s="30">
        <f t="shared" si="7"/>
        <v>1.2309334206918487E-2</v>
      </c>
      <c r="P50" s="30">
        <f t="shared" si="21"/>
        <v>0.23776852114546054</v>
      </c>
    </row>
    <row r="51" spans="1:16" x14ac:dyDescent="0.4">
      <c r="A51" s="36">
        <f>+'Inflación BE'!A80</f>
        <v>46092</v>
      </c>
      <c r="B51" s="35">
        <v>2.8452719345717137E-2</v>
      </c>
      <c r="C51" s="15">
        <v>2.881619353661713E-2</v>
      </c>
      <c r="D51" s="30">
        <f>+VLOOKUP(A51,'Inflación BE'!A:S,19)</f>
        <v>2.2780394084448874E-2</v>
      </c>
      <c r="E51" s="30">
        <f t="shared" si="0"/>
        <v>2.2780394084448874E-2</v>
      </c>
      <c r="F51" s="30">
        <f>+((((1+VLOOKUP(A51,'Inflación BE'!A:K,11))^3)/((1+E51)^2))^(1/1))-1</f>
        <v>2.1460910249984089E-2</v>
      </c>
      <c r="G51" s="30">
        <f>+((((1+VLOOKUP(A51,'Inflación BE'!A:O,15))^7)/((1+VLOOKUP(A51,'Inflación BE'!A:K,11))^3))^(1/4))-1</f>
        <v>1.6648893719475089E-2</v>
      </c>
      <c r="H51" s="30">
        <f>+G51</f>
        <v>1.6648893719475089E-2</v>
      </c>
      <c r="I51" s="30">
        <f t="shared" ref="I51" si="22">+H51</f>
        <v>1.6648893719475089E-2</v>
      </c>
      <c r="J51" s="30">
        <f t="shared" ref="J51" si="23">+I51</f>
        <v>1.6648893719475089E-2</v>
      </c>
      <c r="K51" s="30">
        <f>+((((1+VLOOKUP(A51,'Inflación BE'!A:W,23))^12)/((1+VLOOKUP(A51,'Inflación BE'!A:O,15))^7))^(1/5))-1</f>
        <v>1.2128712561013222E-2</v>
      </c>
      <c r="L51" s="30">
        <f t="shared" ref="L51" si="24">+K51</f>
        <v>1.2128712561013222E-2</v>
      </c>
      <c r="M51" s="30">
        <f>+L51</f>
        <v>1.2128712561013222E-2</v>
      </c>
      <c r="N51" s="30">
        <f t="shared" ref="N51" si="25">+M51</f>
        <v>1.2128712561013222E-2</v>
      </c>
      <c r="O51" s="30">
        <f t="shared" ref="O51" si="26">+N51</f>
        <v>1.2128712561013222E-2</v>
      </c>
      <c r="P51" s="30">
        <f>+((1+C51)*(1+D51)*(1+E51)*(1+F51)*(1+G51)*(1+H51)*(1+I51)*(1+J51)*(1+K51)*(1+L51)*(1+M51)*(1+N51))-1</f>
        <v>0.23239884452251158</v>
      </c>
    </row>
    <row r="52" spans="1:16" s="23" customFormat="1" x14ac:dyDescent="0.4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C610-D053-4E4C-AA40-8DC767EC2DBA}">
  <dimension ref="A1:Q64"/>
  <sheetViews>
    <sheetView topLeftCell="A10" zoomScale="80" zoomScaleNormal="80" workbookViewId="0">
      <selection activeCell="D20" sqref="D20"/>
    </sheetView>
  </sheetViews>
  <sheetFormatPr baseColWidth="10" defaultRowHeight="15" x14ac:dyDescent="0.4"/>
  <cols>
    <col min="1" max="1" width="19.58203125" bestFit="1" customWidth="1"/>
    <col min="3" max="3" width="17.33203125" bestFit="1" customWidth="1"/>
    <col min="5" max="5" width="12.4140625" bestFit="1" customWidth="1"/>
    <col min="6" max="6" width="15.08203125" bestFit="1" customWidth="1"/>
    <col min="7" max="8" width="17.9140625" bestFit="1" customWidth="1"/>
    <col min="9" max="10" width="19.08203125" customWidth="1"/>
    <col min="11" max="11" width="14.08203125" bestFit="1" customWidth="1"/>
    <col min="12" max="14" width="15.33203125" customWidth="1"/>
    <col min="15" max="15" width="13.9140625" bestFit="1" customWidth="1"/>
    <col min="16" max="16" width="13.9140625" customWidth="1"/>
    <col min="17" max="17" width="14.08203125" bestFit="1" customWidth="1"/>
  </cols>
  <sheetData>
    <row r="1" spans="1:17" x14ac:dyDescent="0.4">
      <c r="A1" s="11" t="s">
        <v>34</v>
      </c>
      <c r="B1" s="11" t="s">
        <v>35</v>
      </c>
      <c r="C1" s="11" t="s">
        <v>37</v>
      </c>
      <c r="D1" s="11" t="s">
        <v>36</v>
      </c>
      <c r="E1" s="11" t="s">
        <v>38</v>
      </c>
      <c r="F1" s="11" t="s">
        <v>39</v>
      </c>
      <c r="G1" s="11" t="s">
        <v>68</v>
      </c>
      <c r="J1" s="37" t="s">
        <v>64</v>
      </c>
      <c r="K1" s="9" t="s">
        <v>44</v>
      </c>
      <c r="L1" s="9" t="s">
        <v>31</v>
      </c>
      <c r="M1" s="9" t="s">
        <v>65</v>
      </c>
      <c r="N1" s="9" t="s">
        <v>66</v>
      </c>
      <c r="O1" s="9" t="s">
        <v>32</v>
      </c>
      <c r="P1" s="9" t="s">
        <v>67</v>
      </c>
      <c r="Q1" s="9" t="s">
        <v>54</v>
      </c>
    </row>
    <row r="2" spans="1:17" x14ac:dyDescent="0.4">
      <c r="A2" s="12">
        <v>45627</v>
      </c>
      <c r="B2" s="13">
        <f>+'[2]1. Nuevo IPC Nacional'!$AF101</f>
        <v>2.7041040514633741E-2</v>
      </c>
      <c r="C2" s="16">
        <f>+'[2]1. Nuevo IPC Nacional'!$AF101</f>
        <v>2.7041040514633741E-2</v>
      </c>
      <c r="D2" s="5"/>
      <c r="E2" s="5"/>
      <c r="F2" s="5"/>
      <c r="G2" s="5"/>
      <c r="I2" t="s">
        <v>33</v>
      </c>
      <c r="J2" s="25">
        <f>+VLOOKUP(MAX('Inflación BE'!A:A),'Inflación BE'!A:AA,27)</f>
        <v>2.942211087454516E-2</v>
      </c>
      <c r="K2" s="26">
        <f>+VLOOKUP(MAX('Inflación BE'!A:A),'Inflación BE'!A:S,19)</f>
        <v>2.6470499728362684E-2</v>
      </c>
      <c r="L2" s="26">
        <f>+VLOOKUP(MAX('Inflación BE'!A:A),'Inflación BE'!A:K,11)</f>
        <v>2.5127446060128289E-2</v>
      </c>
      <c r="M2" s="26">
        <f>+VLOOKUP(MAX('Inflación BE'!A:A),'Inflación BE'!A:AE,31)</f>
        <v>2.3839897337218252E-2</v>
      </c>
      <c r="N2" s="26">
        <f>+VLOOKUP(MAX('Inflación BE'!A:A),'Inflación BE'!A:AI,35)</f>
        <v>2.1724376762057629E-2</v>
      </c>
      <c r="O2" s="26">
        <f>+VLOOKUP(MAX('Inflación BE'!A:A),'Inflación BE'!A:O,15)</f>
        <v>2.0990834875454389E-2</v>
      </c>
      <c r="P2" s="26">
        <f>+VLOOKUP(MAX('Inflación BE'!A:A),'Inflación BE'!A:AM,39)</f>
        <v>2.0650506142613434E-2</v>
      </c>
      <c r="Q2" s="27">
        <f>+VLOOKUP(MAX('Inflación BE'!A:A),'Inflación BE'!A:W,23)</f>
        <v>1.7469447115403103E-2</v>
      </c>
    </row>
    <row r="3" spans="1:17" x14ac:dyDescent="0.4">
      <c r="A3" s="12">
        <v>45658</v>
      </c>
      <c r="B3" s="13">
        <f>+'[2]1. Nuevo IPC Nacional'!$AF102</f>
        <v>2.2110480136651844E-2</v>
      </c>
      <c r="C3" s="16">
        <f>+'[2]1. Nuevo IPC Nacional'!$AF102</f>
        <v>2.2110480136651844E-2</v>
      </c>
      <c r="D3" s="5"/>
      <c r="E3" s="5"/>
      <c r="F3" s="5"/>
      <c r="G3" s="5"/>
    </row>
    <row r="4" spans="1:17" x14ac:dyDescent="0.4">
      <c r="A4" s="12">
        <v>45689</v>
      </c>
      <c r="B4" s="13">
        <f>+'[2]1. Nuevo IPC Nacional'!$AF103</f>
        <v>2.4016274307517849E-2</v>
      </c>
      <c r="C4" s="16">
        <f>+'[2]1. Nuevo IPC Nacional'!$AF103</f>
        <v>2.4016274307517849E-2</v>
      </c>
      <c r="D4" s="5"/>
      <c r="E4" s="5"/>
      <c r="F4" s="5"/>
      <c r="G4" s="5"/>
    </row>
    <row r="5" spans="1:17" x14ac:dyDescent="0.4">
      <c r="A5" s="12">
        <v>45717</v>
      </c>
      <c r="B5" s="13">
        <f>+'[2]1. Nuevo IPC Nacional'!$AF104</f>
        <v>3.7293353066121693E-2</v>
      </c>
      <c r="C5" s="16">
        <f>+'[2]1. Nuevo IPC Nacional'!$AF104</f>
        <v>3.7293353066121693E-2</v>
      </c>
      <c r="D5" s="5"/>
      <c r="E5" s="5"/>
      <c r="F5" s="5"/>
      <c r="G5" s="5"/>
    </row>
    <row r="6" spans="1:17" x14ac:dyDescent="0.4">
      <c r="A6" s="12">
        <v>45748</v>
      </c>
      <c r="B6" s="13">
        <f>+'[2]1. Nuevo IPC Nacional'!$AF105</f>
        <v>2.7808358448509596E-2</v>
      </c>
      <c r="C6" s="16">
        <f>+'[2]1. Nuevo IPC Nacional'!$AF105</f>
        <v>2.7808358448509596E-2</v>
      </c>
      <c r="D6" s="5"/>
      <c r="E6" s="5"/>
      <c r="F6" s="5"/>
      <c r="G6" s="5"/>
    </row>
    <row r="7" spans="1:17" x14ac:dyDescent="0.4">
      <c r="A7" s="12">
        <v>45778</v>
      </c>
      <c r="B7" s="13">
        <f>+'[2]1. Nuevo IPC Nacional'!$AF106</f>
        <v>1.5011086343823088E-2</v>
      </c>
      <c r="C7" s="16">
        <f>+'[2]1. Nuevo IPC Nacional'!$AF106</f>
        <v>1.5011086343823088E-2</v>
      </c>
      <c r="D7" s="5"/>
      <c r="E7" s="5"/>
      <c r="F7" s="5"/>
      <c r="G7" s="5"/>
    </row>
    <row r="8" spans="1:17" x14ac:dyDescent="0.4">
      <c r="A8" s="12">
        <v>45809</v>
      </c>
      <c r="B8" s="13">
        <f>+'[2]1. Nuevo IPC Nacional'!$AF107</f>
        <v>1.6189248819933333E-2</v>
      </c>
      <c r="C8" s="16">
        <f>+'[2]1. Nuevo IPC Nacional'!$AF107</f>
        <v>1.6189248819933333E-2</v>
      </c>
      <c r="D8" s="5"/>
      <c r="E8" s="5"/>
      <c r="F8" s="5"/>
      <c r="G8" s="5"/>
    </row>
    <row r="9" spans="1:17" x14ac:dyDescent="0.4">
      <c r="A9" s="12">
        <v>45839</v>
      </c>
      <c r="B9" s="13">
        <f>+'[2]1. Nuevo IPC Nacional'!$AF108</f>
        <v>1.9016837553312849E-2</v>
      </c>
      <c r="C9" s="16">
        <f>+'[2]1. Nuevo IPC Nacional'!$AF108</f>
        <v>1.9016837553312849E-2</v>
      </c>
      <c r="D9" s="5"/>
      <c r="E9" s="5"/>
      <c r="F9" s="5"/>
      <c r="G9" s="5"/>
    </row>
    <row r="10" spans="1:17" x14ac:dyDescent="0.4">
      <c r="A10" s="12">
        <v>45870</v>
      </c>
      <c r="B10" s="13">
        <f>+'[2]1. Nuevo IPC Nacional'!$AF109</f>
        <v>1.8757935113502766E-2</v>
      </c>
      <c r="C10" s="16">
        <f>+'[2]1. Nuevo IPC Nacional'!$AF109</f>
        <v>1.8757935113502766E-2</v>
      </c>
      <c r="D10" s="5"/>
      <c r="E10" s="5"/>
      <c r="F10" s="5"/>
      <c r="G10" s="5"/>
    </row>
    <row r="11" spans="1:17" x14ac:dyDescent="0.4">
      <c r="A11" s="12">
        <v>45901</v>
      </c>
      <c r="B11" s="13">
        <f>+'[2]1. Nuevo IPC Nacional'!$AF110</f>
        <v>2.0759603239513646E-2</v>
      </c>
      <c r="C11" s="16">
        <f>+'[2]1. Nuevo IPC Nacional'!$AF110</f>
        <v>2.0759603239513646E-2</v>
      </c>
      <c r="D11" s="17"/>
      <c r="E11" s="17"/>
      <c r="F11" s="17"/>
      <c r="G11" s="17"/>
    </row>
    <row r="12" spans="1:17" x14ac:dyDescent="0.4">
      <c r="A12" s="12">
        <v>45931</v>
      </c>
      <c r="B12" s="13">
        <f>+'[2]1. Nuevo IPC Nacional'!$AF111</f>
        <v>2.3419431023919524E-2</v>
      </c>
      <c r="C12" s="16">
        <f>+'[2]1. Nuevo IPC Nacional'!$AF111</f>
        <v>2.3419431023919524E-2</v>
      </c>
      <c r="D12" s="18"/>
      <c r="E12" s="18"/>
      <c r="F12" s="18"/>
      <c r="G12" s="18"/>
    </row>
    <row r="13" spans="1:17" x14ac:dyDescent="0.4">
      <c r="A13" s="12">
        <v>45962</v>
      </c>
      <c r="B13" s="13">
        <f>+'[2]1. Nuevo IPC Nacional'!$AF112</f>
        <v>2.4729196710785661E-2</v>
      </c>
      <c r="C13" s="16">
        <f>+'[2]1. Nuevo IPC Nacional'!$AF112</f>
        <v>2.4729196710785661E-2</v>
      </c>
      <c r="D13" s="17"/>
      <c r="E13" s="17"/>
      <c r="F13" s="17"/>
      <c r="G13" s="17"/>
    </row>
    <row r="14" spans="1:17" x14ac:dyDescent="0.4">
      <c r="A14" s="12">
        <v>45992</v>
      </c>
      <c r="B14" s="13">
        <f>+'[2]1. Nuevo IPC Nacional'!$AF113</f>
        <v>2.8452719345717137E-2</v>
      </c>
      <c r="C14" s="16">
        <f>+'[2]1. Nuevo IPC Nacional'!$AF113</f>
        <v>2.8452719345717137E-2</v>
      </c>
      <c r="D14" s="17"/>
      <c r="E14" s="17"/>
      <c r="F14" s="17"/>
      <c r="G14" s="17"/>
    </row>
    <row r="15" spans="1:17" x14ac:dyDescent="0.4">
      <c r="A15" s="12">
        <v>46023</v>
      </c>
      <c r="B15" s="13">
        <f>+'[2]1. Nuevo IPC Nacional'!$AF114</f>
        <v>2.881619353661713E-2</v>
      </c>
      <c r="C15" s="16">
        <f>+'[2]1. Nuevo IPC Nacional'!$AF114</f>
        <v>2.881619353661713E-2</v>
      </c>
      <c r="D15" s="17"/>
      <c r="E15" s="17"/>
      <c r="F15" s="17"/>
      <c r="G15" s="17">
        <v>2.881619353661713E-2</v>
      </c>
    </row>
    <row r="16" spans="1:17" x14ac:dyDescent="0.4">
      <c r="A16" s="12">
        <v>46054</v>
      </c>
      <c r="B16" s="13">
        <f>+'[2]1. Nuevo IPC Nacional'!$AF115</f>
        <v>2.8963190726726928E-2</v>
      </c>
      <c r="C16" s="16">
        <f>+'[2]1. Nuevo IPC Nacional'!$AF115</f>
        <v>2.8963190726726928E-2</v>
      </c>
      <c r="D16" s="17">
        <f>+C16</f>
        <v>2.8963190726726928E-2</v>
      </c>
      <c r="E16" s="17">
        <f>+D16</f>
        <v>2.8963190726726928E-2</v>
      </c>
      <c r="F16" s="17">
        <f>+E16</f>
        <v>2.8963190726726928E-2</v>
      </c>
      <c r="G16" s="17">
        <v>2.5000000000000001E-2</v>
      </c>
    </row>
    <row r="17" spans="1:11" x14ac:dyDescent="0.4">
      <c r="A17" s="14">
        <v>46082</v>
      </c>
      <c r="B17" s="15">
        <f>+J2</f>
        <v>2.942211087454516E-2</v>
      </c>
      <c r="C17" s="5"/>
      <c r="D17" s="24">
        <f>+B17</f>
        <v>2.942211087454516E-2</v>
      </c>
      <c r="E17" s="20">
        <v>2.5000000000000001E-2</v>
      </c>
      <c r="F17" s="19">
        <f>+'[3]Escenario 1'!$P294</f>
        <v>2.908487670547899E-2</v>
      </c>
      <c r="G17" s="19">
        <v>2.4E-2</v>
      </c>
      <c r="I17" s="10">
        <f>1+B17</f>
        <v>1.0294221108745452</v>
      </c>
    </row>
    <row r="18" spans="1:11" x14ac:dyDescent="0.4">
      <c r="A18" s="14">
        <v>46113</v>
      </c>
      <c r="B18" s="15">
        <f>+((((1+L2)^2)/((1+J2)^1))^(1/1))-1</f>
        <v>2.0850698235907572E-2</v>
      </c>
      <c r="C18" s="5"/>
      <c r="D18" s="24">
        <f>+B18</f>
        <v>2.0850698235907572E-2</v>
      </c>
      <c r="E18" s="20">
        <v>2.1999999999999999E-2</v>
      </c>
      <c r="F18" s="19">
        <f>+'[3]Escenario 1'!$P295</f>
        <v>2.1811958406777649E-2</v>
      </c>
      <c r="G18" s="19">
        <v>2.1000000000000001E-2</v>
      </c>
      <c r="I18" s="10">
        <f t="shared" ref="I18:I27" si="0">1+B18</f>
        <v>1.0208506982359076</v>
      </c>
      <c r="J18" s="9">
        <f>+A18</f>
        <v>46113</v>
      </c>
      <c r="K18" s="25">
        <f>+GEOMEAN(I18:I26)-1</f>
        <v>1.6766930532203794E-2</v>
      </c>
    </row>
    <row r="19" spans="1:11" x14ac:dyDescent="0.4">
      <c r="A19" s="14">
        <v>46143</v>
      </c>
      <c r="B19" s="15">
        <f>+((((1+M2)^3)/((1+L2)^2))^(1/1))-1</f>
        <v>2.1269649301103533E-2</v>
      </c>
      <c r="C19" s="5"/>
      <c r="D19" s="24">
        <f t="shared" ref="D19:D27" si="1">+B19</f>
        <v>2.1269649301103533E-2</v>
      </c>
      <c r="E19" s="20">
        <v>1.9E-2</v>
      </c>
      <c r="F19" s="19">
        <f>+'[3]Escenario 1'!$P296</f>
        <v>1.9782924676127574E-2</v>
      </c>
      <c r="G19" s="19">
        <v>1.4999999999999999E-2</v>
      </c>
      <c r="I19" s="10">
        <f t="shared" si="0"/>
        <v>1.0212696493011035</v>
      </c>
      <c r="J19" s="9">
        <f t="shared" ref="J19:J26" si="2">+A19</f>
        <v>46143</v>
      </c>
      <c r="K19" s="38">
        <f>+K18</f>
        <v>1.6766930532203794E-2</v>
      </c>
    </row>
    <row r="20" spans="1:11" x14ac:dyDescent="0.4">
      <c r="A20" s="14">
        <v>46174</v>
      </c>
      <c r="B20" s="15">
        <f>+((((1+N2)^5)/((1+M2)^3))^(1/2))-1</f>
        <v>1.8559289109658428E-2</v>
      </c>
      <c r="C20" s="5"/>
      <c r="D20" s="24">
        <f t="shared" si="1"/>
        <v>1.8559289109658428E-2</v>
      </c>
      <c r="E20" s="20">
        <v>1.7999999999999999E-2</v>
      </c>
      <c r="F20" s="19">
        <f>+'[3]Escenario 1'!$P297</f>
        <v>1.8336359397498673E-2</v>
      </c>
      <c r="G20" s="19">
        <v>1.4E-2</v>
      </c>
      <c r="I20" s="10">
        <f t="shared" si="0"/>
        <v>1.0185592891096584</v>
      </c>
      <c r="J20" s="9">
        <f t="shared" si="2"/>
        <v>46174</v>
      </c>
      <c r="K20" s="38">
        <f t="shared" ref="K20:K26" si="3">+K19</f>
        <v>1.6766930532203794E-2</v>
      </c>
    </row>
    <row r="21" spans="1:11" x14ac:dyDescent="0.4">
      <c r="A21" s="14">
        <v>46204</v>
      </c>
      <c r="B21" s="15">
        <f>+B20</f>
        <v>1.8559289109658428E-2</v>
      </c>
      <c r="C21" s="5"/>
      <c r="D21" s="24">
        <f>+B21</f>
        <v>1.8559289109658428E-2</v>
      </c>
      <c r="E21" s="20">
        <v>1.7000000000000001E-2</v>
      </c>
      <c r="F21" s="19">
        <f>+'[3]Escenario 1'!$P298</f>
        <v>2.1667712167539419E-2</v>
      </c>
      <c r="G21" s="19">
        <v>1.4999999999999999E-2</v>
      </c>
      <c r="I21" s="10">
        <f t="shared" si="0"/>
        <v>1.0185592891096584</v>
      </c>
      <c r="J21" s="9">
        <f t="shared" si="2"/>
        <v>46204</v>
      </c>
      <c r="K21" s="38">
        <f t="shared" si="3"/>
        <v>1.6766930532203794E-2</v>
      </c>
    </row>
    <row r="22" spans="1:11" x14ac:dyDescent="0.4">
      <c r="A22" s="14">
        <v>46235</v>
      </c>
      <c r="B22" s="15">
        <f>+((((1+O2)^6)/((1+N2)^5))^(1/1))-1</f>
        <v>1.7331017525218595E-2</v>
      </c>
      <c r="C22" s="5"/>
      <c r="D22" s="24">
        <f>+B22</f>
        <v>1.7331017525218595E-2</v>
      </c>
      <c r="E22" s="19">
        <v>1.4999999999999999E-2</v>
      </c>
      <c r="F22" s="19">
        <f>+'[3]Escenario 1'!$P299</f>
        <v>1.8851043858919569E-2</v>
      </c>
      <c r="G22" s="19"/>
      <c r="I22" s="10">
        <f t="shared" si="0"/>
        <v>1.0173310175252186</v>
      </c>
      <c r="J22" s="9">
        <f t="shared" si="2"/>
        <v>46235</v>
      </c>
      <c r="K22" s="38">
        <f t="shared" si="3"/>
        <v>1.6766930532203794E-2</v>
      </c>
    </row>
    <row r="23" spans="1:11" x14ac:dyDescent="0.4">
      <c r="A23" s="14">
        <v>46266</v>
      </c>
      <c r="B23" s="15">
        <f>+((((1+P2)^7)/((1+O2)^6))^(1/1))-1</f>
        <v>1.8610914712831716E-2</v>
      </c>
      <c r="C23" s="5"/>
      <c r="D23" s="24">
        <f>+B23</f>
        <v>1.8610914712831716E-2</v>
      </c>
      <c r="E23" s="21"/>
      <c r="F23" s="19">
        <f>+'[3]Escenario 1'!$P300</f>
        <v>2.3239566188367582E-2</v>
      </c>
      <c r="G23" s="19"/>
      <c r="I23" s="10">
        <f t="shared" si="0"/>
        <v>1.0186109147128317</v>
      </c>
      <c r="J23" s="9">
        <f t="shared" si="2"/>
        <v>46266</v>
      </c>
      <c r="K23" s="38">
        <f t="shared" si="3"/>
        <v>1.6766930532203794E-2</v>
      </c>
    </row>
    <row r="24" spans="1:11" x14ac:dyDescent="0.4">
      <c r="A24" s="14">
        <v>46296</v>
      </c>
      <c r="B24" s="15">
        <f>+((((1+Q2)^11)/((1+P2)^7))^(1/4))-1</f>
        <v>1.1926431748780386E-2</v>
      </c>
      <c r="C24" s="5"/>
      <c r="D24" s="24">
        <f t="shared" si="1"/>
        <v>1.1926431748780386E-2</v>
      </c>
      <c r="E24" s="21"/>
      <c r="F24" s="19">
        <f>+'[3]Escenario 1'!$P301</f>
        <v>2.055245295224788E-2</v>
      </c>
      <c r="G24" s="19"/>
      <c r="I24" s="10">
        <f t="shared" si="0"/>
        <v>1.0119264317487804</v>
      </c>
      <c r="J24" s="9">
        <f t="shared" si="2"/>
        <v>46296</v>
      </c>
      <c r="K24" s="38">
        <f t="shared" si="3"/>
        <v>1.6766930532203794E-2</v>
      </c>
    </row>
    <row r="25" spans="1:11" x14ac:dyDescent="0.4">
      <c r="A25" s="14">
        <v>46327</v>
      </c>
      <c r="B25" s="15">
        <f>+B24</f>
        <v>1.1926431748780386E-2</v>
      </c>
      <c r="C25" s="5"/>
      <c r="D25" s="24">
        <f t="shared" si="1"/>
        <v>1.1926431748780386E-2</v>
      </c>
      <c r="E25" s="21"/>
      <c r="F25" s="19">
        <f>+'[3]Escenario 1'!$P302</f>
        <v>1.7206571887781685E-2</v>
      </c>
      <c r="G25" s="19"/>
      <c r="I25" s="10">
        <f t="shared" si="0"/>
        <v>1.0119264317487804</v>
      </c>
      <c r="J25" s="9">
        <f t="shared" si="2"/>
        <v>46327</v>
      </c>
      <c r="K25" s="38">
        <f t="shared" si="3"/>
        <v>1.6766930532203794E-2</v>
      </c>
    </row>
    <row r="26" spans="1:11" x14ac:dyDescent="0.4">
      <c r="A26" s="14">
        <v>46357</v>
      </c>
      <c r="B26" s="15">
        <f>+B25</f>
        <v>1.1926431748780386E-2</v>
      </c>
      <c r="C26" s="5"/>
      <c r="D26" s="24">
        <f t="shared" si="1"/>
        <v>1.1926431748780386E-2</v>
      </c>
      <c r="E26" s="21"/>
      <c r="F26" s="19">
        <f>+'[3]Escenario 1'!$P303</f>
        <v>1.6211339787053677E-2</v>
      </c>
      <c r="G26" s="19"/>
      <c r="I26" s="10">
        <f t="shared" si="0"/>
        <v>1.0119264317487804</v>
      </c>
      <c r="J26" s="9">
        <f t="shared" si="2"/>
        <v>46357</v>
      </c>
      <c r="K26" s="38">
        <f t="shared" si="3"/>
        <v>1.6766930532203794E-2</v>
      </c>
    </row>
    <row r="27" spans="1:11" x14ac:dyDescent="0.4">
      <c r="A27" s="14">
        <v>46388</v>
      </c>
      <c r="B27" s="15">
        <f t="shared" ref="B27" si="4">+B26</f>
        <v>1.1926431748780386E-2</v>
      </c>
      <c r="C27" s="5"/>
      <c r="D27" s="24">
        <f t="shared" si="1"/>
        <v>1.1926431748780386E-2</v>
      </c>
      <c r="E27" s="21"/>
      <c r="F27" s="19">
        <f>+'[3]Escenario 1'!$P304</f>
        <v>1.7247937850937544E-2</v>
      </c>
      <c r="G27" s="19"/>
      <c r="I27" s="10">
        <f t="shared" si="0"/>
        <v>1.0119264317487804</v>
      </c>
    </row>
    <row r="31" spans="1:11" x14ac:dyDescent="0.4">
      <c r="A31" s="12">
        <v>46023</v>
      </c>
      <c r="B31" s="10">
        <f>+B15+1</f>
        <v>1.0288161935366171</v>
      </c>
    </row>
    <row r="32" spans="1:11" x14ac:dyDescent="0.4">
      <c r="A32" s="14">
        <v>46054</v>
      </c>
      <c r="B32" s="10">
        <f>+B16+1</f>
        <v>1.0289631907267269</v>
      </c>
    </row>
    <row r="33" spans="1:4" x14ac:dyDescent="0.4">
      <c r="A33" s="14">
        <v>46082</v>
      </c>
      <c r="B33" s="10">
        <f>+B17+1</f>
        <v>1.0294221108745452</v>
      </c>
      <c r="D33" s="25">
        <f>+PRODUCT(B31:B42)-1</f>
        <v>0.26567976547544969</v>
      </c>
    </row>
    <row r="34" spans="1:4" x14ac:dyDescent="0.4">
      <c r="A34" s="14">
        <v>46113</v>
      </c>
      <c r="B34" s="10">
        <f t="shared" ref="B34:B42" si="5">+B18+1</f>
        <v>1.0208506982359076</v>
      </c>
    </row>
    <row r="35" spans="1:4" x14ac:dyDescent="0.4">
      <c r="A35" s="14">
        <v>46143</v>
      </c>
      <c r="B35" s="10">
        <f t="shared" si="5"/>
        <v>1.0212696493011035</v>
      </c>
    </row>
    <row r="36" spans="1:4" x14ac:dyDescent="0.4">
      <c r="A36" s="14">
        <v>46174</v>
      </c>
      <c r="B36" s="10">
        <f t="shared" si="5"/>
        <v>1.0185592891096584</v>
      </c>
    </row>
    <row r="37" spans="1:4" x14ac:dyDescent="0.4">
      <c r="A37" s="14">
        <v>46204</v>
      </c>
      <c r="B37" s="10">
        <f>+B21+1</f>
        <v>1.0185592891096584</v>
      </c>
    </row>
    <row r="38" spans="1:4" x14ac:dyDescent="0.4">
      <c r="A38" s="14">
        <v>46235</v>
      </c>
      <c r="B38" s="10">
        <f>+B22+1</f>
        <v>1.0173310175252186</v>
      </c>
    </row>
    <row r="39" spans="1:4" x14ac:dyDescent="0.4">
      <c r="A39" s="14">
        <v>46266</v>
      </c>
      <c r="B39" s="10">
        <f>+B23+1</f>
        <v>1.0186109147128317</v>
      </c>
    </row>
    <row r="40" spans="1:4" x14ac:dyDescent="0.4">
      <c r="A40" s="14">
        <v>46296</v>
      </c>
      <c r="B40" s="10">
        <f t="shared" si="5"/>
        <v>1.0119264317487804</v>
      </c>
    </row>
    <row r="41" spans="1:4" x14ac:dyDescent="0.4">
      <c r="A41" s="14">
        <v>46327</v>
      </c>
      <c r="B41" s="10">
        <f t="shared" si="5"/>
        <v>1.0119264317487804</v>
      </c>
    </row>
    <row r="42" spans="1:4" x14ac:dyDescent="0.4">
      <c r="A42" s="14">
        <v>46357</v>
      </c>
      <c r="B42" s="10">
        <f t="shared" si="5"/>
        <v>1.0119264317487804</v>
      </c>
    </row>
    <row r="50" spans="4:8" x14ac:dyDescent="0.4">
      <c r="D50" s="46" t="s">
        <v>34</v>
      </c>
      <c r="E50" s="11" t="s">
        <v>36</v>
      </c>
      <c r="F50" s="11" t="s">
        <v>38</v>
      </c>
      <c r="G50" s="11" t="s">
        <v>39</v>
      </c>
      <c r="H50" s="11" t="s">
        <v>68</v>
      </c>
    </row>
    <row r="51" spans="4:8" x14ac:dyDescent="0.4">
      <c r="D51" s="47"/>
      <c r="E51" s="11" t="s">
        <v>69</v>
      </c>
      <c r="F51" s="11" t="s">
        <v>70</v>
      </c>
      <c r="G51" s="11" t="s">
        <v>71</v>
      </c>
      <c r="H51" s="11" t="s">
        <v>72</v>
      </c>
    </row>
    <row r="52" spans="4:8" x14ac:dyDescent="0.4">
      <c r="D52" s="12">
        <v>46023</v>
      </c>
      <c r="E52" s="17">
        <f t="shared" ref="E52:F52" si="6">+F52</f>
        <v>2.881619353661713E-2</v>
      </c>
      <c r="F52" s="17">
        <f t="shared" si="6"/>
        <v>2.881619353661713E-2</v>
      </c>
      <c r="G52" s="17">
        <f>+H52</f>
        <v>2.881619353661713E-2</v>
      </c>
      <c r="H52" s="17">
        <f>+G15</f>
        <v>2.881619353661713E-2</v>
      </c>
    </row>
    <row r="53" spans="4:8" x14ac:dyDescent="0.4">
      <c r="D53" s="12">
        <v>46054</v>
      </c>
      <c r="E53" s="17">
        <f t="shared" ref="E53:H53" si="7">+D16</f>
        <v>2.8963190726726928E-2</v>
      </c>
      <c r="F53" s="17">
        <f t="shared" si="7"/>
        <v>2.8963190726726928E-2</v>
      </c>
      <c r="G53" s="17">
        <f t="shared" si="7"/>
        <v>2.8963190726726928E-2</v>
      </c>
      <c r="H53" s="39">
        <f t="shared" si="7"/>
        <v>2.5000000000000001E-2</v>
      </c>
    </row>
    <row r="54" spans="4:8" x14ac:dyDescent="0.4">
      <c r="D54" s="14">
        <v>46082</v>
      </c>
      <c r="E54" s="39">
        <f t="shared" ref="E54:H54" si="8">+D17</f>
        <v>2.942211087454516E-2</v>
      </c>
      <c r="F54" s="39">
        <f t="shared" si="8"/>
        <v>2.5000000000000001E-2</v>
      </c>
      <c r="G54" s="39">
        <f t="shared" si="8"/>
        <v>2.908487670547899E-2</v>
      </c>
      <c r="H54" s="39">
        <f t="shared" si="8"/>
        <v>2.4E-2</v>
      </c>
    </row>
    <row r="55" spans="4:8" x14ac:dyDescent="0.4">
      <c r="D55" s="14">
        <v>46113</v>
      </c>
      <c r="E55" s="39">
        <f t="shared" ref="E55:H55" si="9">+D18</f>
        <v>2.0850698235907572E-2</v>
      </c>
      <c r="F55" s="39">
        <f t="shared" si="9"/>
        <v>2.1999999999999999E-2</v>
      </c>
      <c r="G55" s="39">
        <f t="shared" si="9"/>
        <v>2.1811958406777649E-2</v>
      </c>
      <c r="H55" s="39">
        <f t="shared" si="9"/>
        <v>2.1000000000000001E-2</v>
      </c>
    </row>
    <row r="56" spans="4:8" x14ac:dyDescent="0.4">
      <c r="D56" s="14">
        <v>46143</v>
      </c>
      <c r="E56" s="39">
        <f t="shared" ref="E56:H56" si="10">+D19</f>
        <v>2.1269649301103533E-2</v>
      </c>
      <c r="F56" s="39">
        <f t="shared" si="10"/>
        <v>1.9E-2</v>
      </c>
      <c r="G56" s="39">
        <f t="shared" si="10"/>
        <v>1.9782924676127574E-2</v>
      </c>
      <c r="H56" s="39">
        <f t="shared" si="10"/>
        <v>1.4999999999999999E-2</v>
      </c>
    </row>
    <row r="57" spans="4:8" x14ac:dyDescent="0.4">
      <c r="D57" s="14">
        <v>46174</v>
      </c>
      <c r="E57" s="39">
        <f t="shared" ref="E57:H57" si="11">+D20</f>
        <v>1.8559289109658428E-2</v>
      </c>
      <c r="F57" s="39">
        <f t="shared" si="11"/>
        <v>1.7999999999999999E-2</v>
      </c>
      <c r="G57" s="39">
        <f t="shared" si="11"/>
        <v>1.8336359397498673E-2</v>
      </c>
      <c r="H57" s="39">
        <f t="shared" si="11"/>
        <v>1.4E-2</v>
      </c>
    </row>
    <row r="58" spans="4:8" x14ac:dyDescent="0.4">
      <c r="D58" s="14">
        <v>46204</v>
      </c>
      <c r="E58" s="39">
        <f t="shared" ref="E58:H58" si="12">+D21</f>
        <v>1.8559289109658428E-2</v>
      </c>
      <c r="F58" s="39">
        <f t="shared" si="12"/>
        <v>1.7000000000000001E-2</v>
      </c>
      <c r="G58" s="39">
        <f t="shared" si="12"/>
        <v>2.1667712167539419E-2</v>
      </c>
      <c r="H58" s="39">
        <f t="shared" si="12"/>
        <v>1.4999999999999999E-2</v>
      </c>
    </row>
    <row r="59" spans="4:8" x14ac:dyDescent="0.4">
      <c r="D59" s="14">
        <v>46235</v>
      </c>
      <c r="E59" s="39">
        <f>+D22</f>
        <v>1.7331017525218595E-2</v>
      </c>
      <c r="F59" s="39">
        <f>+E22</f>
        <v>1.4999999999999999E-2</v>
      </c>
      <c r="G59" s="39">
        <f>+F22</f>
        <v>1.8851043858919569E-2</v>
      </c>
      <c r="H59" s="39"/>
    </row>
    <row r="60" spans="4:8" x14ac:dyDescent="0.4">
      <c r="D60" s="14">
        <v>46266</v>
      </c>
      <c r="E60" s="39">
        <f>+D23</f>
        <v>1.8610914712831716E-2</v>
      </c>
      <c r="F60" s="39"/>
      <c r="G60" s="39">
        <f>+F23</f>
        <v>2.3239566188367582E-2</v>
      </c>
      <c r="H60" s="39"/>
    </row>
    <row r="61" spans="4:8" x14ac:dyDescent="0.4">
      <c r="D61" s="14">
        <v>46296</v>
      </c>
      <c r="E61" s="39">
        <f>+D24</f>
        <v>1.1926431748780386E-2</v>
      </c>
      <c r="F61" s="39"/>
      <c r="G61" s="39">
        <f>+F24</f>
        <v>2.055245295224788E-2</v>
      </c>
      <c r="H61" s="39"/>
    </row>
    <row r="62" spans="4:8" x14ac:dyDescent="0.4">
      <c r="D62" s="14">
        <v>46327</v>
      </c>
      <c r="E62" s="39">
        <f>+D25</f>
        <v>1.1926431748780386E-2</v>
      </c>
      <c r="F62" s="39"/>
      <c r="G62" s="39">
        <f>+F25</f>
        <v>1.7206571887781685E-2</v>
      </c>
      <c r="H62" s="39"/>
    </row>
    <row r="63" spans="4:8" x14ac:dyDescent="0.4">
      <c r="D63" s="14">
        <v>46357</v>
      </c>
      <c r="E63" s="39">
        <f>+D26</f>
        <v>1.1926431748780386E-2</v>
      </c>
      <c r="F63" s="39"/>
      <c r="G63" s="39">
        <f>+F26</f>
        <v>1.6211339787053677E-2</v>
      </c>
      <c r="H63" s="39"/>
    </row>
    <row r="64" spans="4:8" x14ac:dyDescent="0.4">
      <c r="D64" s="14">
        <v>46388</v>
      </c>
      <c r="E64" s="39">
        <f>+D27</f>
        <v>1.1926431748780386E-2</v>
      </c>
      <c r="F64" s="39"/>
      <c r="G64" s="39">
        <f>+F27</f>
        <v>1.7247937850937544E-2</v>
      </c>
      <c r="H64" s="39"/>
    </row>
  </sheetData>
  <mergeCells count="1">
    <mergeCell ref="D50:D5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735C-9CCF-4E27-906B-533A96E0BC09}">
  <dimension ref="A1:G50"/>
  <sheetViews>
    <sheetView topLeftCell="A16" workbookViewId="0">
      <selection activeCell="G40" sqref="G40"/>
    </sheetView>
  </sheetViews>
  <sheetFormatPr baseColWidth="10" defaultRowHeight="15" x14ac:dyDescent="0.4"/>
  <cols>
    <col min="3" max="3" width="13.75" bestFit="1" customWidth="1"/>
    <col min="4" max="4" width="12.33203125" bestFit="1" customWidth="1"/>
    <col min="5" max="5" width="14.9140625" bestFit="1" customWidth="1"/>
  </cols>
  <sheetData>
    <row r="1" spans="1:7" x14ac:dyDescent="0.4">
      <c r="A1" t="s">
        <v>8</v>
      </c>
      <c r="B1" t="s">
        <v>55</v>
      </c>
      <c r="C1" t="s">
        <v>45</v>
      </c>
      <c r="D1" t="s">
        <v>46</v>
      </c>
      <c r="E1" t="s">
        <v>47</v>
      </c>
      <c r="F1" t="s">
        <v>56</v>
      </c>
      <c r="G1" t="s">
        <v>57</v>
      </c>
    </row>
    <row r="2" spans="1:7" x14ac:dyDescent="0.4">
      <c r="A2" s="1">
        <f>+'Inflación BE'!A21</f>
        <v>46002</v>
      </c>
      <c r="B2" s="28"/>
      <c r="C2" s="25">
        <f>+(1+'Inflación BE'!S21)^(365/30)-1</f>
        <v>0.25748145632231578</v>
      </c>
      <c r="D2" s="25">
        <f>+(1+'Inflación BE'!K21)^(365/30)-1</f>
        <v>0.25229209270617514</v>
      </c>
      <c r="E2" s="25">
        <f>+(1+'Inflación BE'!O21)^(365/30)-1</f>
        <v>0.21677308250558247</v>
      </c>
      <c r="F2" s="25">
        <f>+(1+'Inflación BE'!W21)^(365/30)-1</f>
        <v>0.21080582040179685</v>
      </c>
      <c r="G2" s="29">
        <f>+AVERAGE(B2:F2)</f>
        <v>0.23433811298396756</v>
      </c>
    </row>
    <row r="3" spans="1:7" x14ac:dyDescent="0.4">
      <c r="A3" s="1">
        <f>+'Inflación BE'!A22</f>
        <v>46003</v>
      </c>
      <c r="B3" s="28"/>
      <c r="C3" s="25">
        <f>+(1+'Inflación BE'!S22)^(365/30)-1</f>
        <v>0.26522166904157807</v>
      </c>
      <c r="D3" s="25">
        <f>+(1+'Inflación BE'!K22)^(365/30)-1</f>
        <v>0.26270644123970532</v>
      </c>
      <c r="E3" s="25">
        <f>+(1+'Inflación BE'!O22)^(365/30)-1</f>
        <v>0.21837412877552254</v>
      </c>
      <c r="F3" s="25">
        <f>+(1+'Inflación BE'!W22)^(365/30)-1</f>
        <v>0.21065031186628969</v>
      </c>
      <c r="G3" s="29">
        <f t="shared" ref="G3:G49" si="0">+AVERAGE(B3:F3)</f>
        <v>0.2392381377307739</v>
      </c>
    </row>
    <row r="4" spans="1:7" x14ac:dyDescent="0.4">
      <c r="A4" s="1">
        <f>+'Inflación BE'!A23</f>
        <v>46006</v>
      </c>
      <c r="B4" s="28"/>
      <c r="C4" s="25">
        <f>+(1+'Inflación BE'!S23)^(365/30)-1</f>
        <v>0.25992648768422599</v>
      </c>
      <c r="D4" s="25">
        <f>+(1+'Inflación BE'!K23)^(365/30)-1</f>
        <v>0.27582171842886916</v>
      </c>
      <c r="E4" s="25">
        <f>+(1+'Inflación BE'!O23)^(365/30)-1</f>
        <v>0.21333732480456424</v>
      </c>
      <c r="F4" s="25">
        <f>+(1+'Inflación BE'!W23)^(365/30)-1</f>
        <v>0.21254391058154365</v>
      </c>
      <c r="G4" s="29">
        <f t="shared" si="0"/>
        <v>0.24040736037480076</v>
      </c>
    </row>
    <row r="5" spans="1:7" x14ac:dyDescent="0.4">
      <c r="A5" s="1">
        <f>+'Inflación BE'!A24</f>
        <v>46007</v>
      </c>
      <c r="B5" s="28"/>
      <c r="C5" s="25">
        <f>+(1+'Inflación BE'!S24)^(365/30)-1</f>
        <v>0.27458923641880939</v>
      </c>
      <c r="D5" s="25">
        <f>+(1+'Inflación BE'!K24)^(365/30)-1</f>
        <v>0.26866616864486081</v>
      </c>
      <c r="E5" s="25">
        <f>+(1+'Inflación BE'!O24)^(365/30)-1</f>
        <v>0.2288446667344326</v>
      </c>
      <c r="F5" s="25">
        <f>+(1+'Inflación BE'!W24)^(365/30)-1</f>
        <v>0.21478419849803765</v>
      </c>
      <c r="G5" s="29">
        <f t="shared" si="0"/>
        <v>0.24672106757403511</v>
      </c>
    </row>
    <row r="6" spans="1:7" x14ac:dyDescent="0.4">
      <c r="A6" s="1">
        <f>+'Inflación BE'!A25</f>
        <v>46008</v>
      </c>
      <c r="B6" s="28"/>
      <c r="C6" s="25">
        <f>+(1+'Inflación BE'!S25)^(365/30)-1</f>
        <v>0.28353937281882535</v>
      </c>
      <c r="D6" s="25">
        <f>+(1+'Inflación BE'!K25)^(365/30)-1</f>
        <v>0.27356786918671427</v>
      </c>
      <c r="E6" s="25">
        <f>+(1+'Inflación BE'!O25)^(365/30)-1</f>
        <v>0.22081823824831881</v>
      </c>
      <c r="F6" s="25">
        <f>+(1+'Inflación BE'!W25)^(365/30)-1</f>
        <v>0.21824405700175675</v>
      </c>
      <c r="G6" s="29">
        <f t="shared" si="0"/>
        <v>0.2490423843139038</v>
      </c>
    </row>
    <row r="7" spans="1:7" x14ac:dyDescent="0.4">
      <c r="A7" s="1">
        <f>+'Inflación BE'!A26</f>
        <v>46009</v>
      </c>
      <c r="B7" s="28"/>
      <c r="C7" s="25">
        <f>+(1+'Inflación BE'!S26)^(365/30)-1</f>
        <v>0.28554682451433111</v>
      </c>
      <c r="D7" s="25">
        <f>+(1+'Inflación BE'!K26)^(365/30)-1</f>
        <v>0.28620393603795558</v>
      </c>
      <c r="E7" s="25">
        <f>+(1+'Inflación BE'!O26)^(365/30)-1</f>
        <v>0.22720606912156938</v>
      </c>
      <c r="F7" s="25">
        <f>+(1+'Inflación BE'!W26)^(365/30)-1</f>
        <v>0.21892809621222997</v>
      </c>
      <c r="G7" s="29">
        <f t="shared" si="0"/>
        <v>0.25447123147152151</v>
      </c>
    </row>
    <row r="8" spans="1:7" x14ac:dyDescent="0.4">
      <c r="A8" s="1">
        <f>+'Inflación BE'!A27</f>
        <v>46010</v>
      </c>
      <c r="B8" s="28"/>
      <c r="C8" s="25">
        <f>+(1+'Inflación BE'!S27)^(365/30)-1</f>
        <v>0.28530494124086547</v>
      </c>
      <c r="D8" s="25">
        <f>+(1+'Inflación BE'!K27)^(365/30)-1</f>
        <v>0.28944457337549023</v>
      </c>
      <c r="E8" s="25">
        <f>+(1+'Inflación BE'!O27)^(365/30)-1</f>
        <v>0.23258054440694265</v>
      </c>
      <c r="F8" s="25">
        <f>+(1+'Inflación BE'!W27)^(365/30)-1</f>
        <v>0.22115204951722411</v>
      </c>
      <c r="G8" s="29">
        <f t="shared" si="0"/>
        <v>0.25712052713513062</v>
      </c>
    </row>
    <row r="9" spans="1:7" x14ac:dyDescent="0.4">
      <c r="A9" s="1">
        <f>+'Inflación BE'!A28</f>
        <v>46013</v>
      </c>
      <c r="B9" s="28"/>
      <c r="C9" s="25">
        <f>+(1+'Inflación BE'!S28)^(365/30)-1</f>
        <v>0.28093863790329943</v>
      </c>
      <c r="D9" s="25">
        <f>+(1+'Inflación BE'!K28)^(365/30)-1</f>
        <v>0.28934410058598448</v>
      </c>
      <c r="E9" s="25">
        <f>+(1+'Inflación BE'!O28)^(365/30)-1</f>
        <v>0.23116221554425542</v>
      </c>
      <c r="F9" s="25">
        <f>+(1+'Inflación BE'!W28)^(365/30)-1</f>
        <v>0.21601488369191024</v>
      </c>
      <c r="G9" s="29">
        <f t="shared" si="0"/>
        <v>0.25436495943136239</v>
      </c>
    </row>
    <row r="10" spans="1:7" x14ac:dyDescent="0.4">
      <c r="A10" s="1">
        <f>+'Inflación BE'!A29</f>
        <v>46014</v>
      </c>
      <c r="B10" s="28"/>
      <c r="C10" s="25">
        <f>+(1+'Inflación BE'!S29)^(365/30)-1</f>
        <v>0.29216319709322702</v>
      </c>
      <c r="D10" s="25">
        <f>+(1+'Inflación BE'!K29)^(365/30)-1</f>
        <v>0.28804942417991253</v>
      </c>
      <c r="E10" s="25">
        <f>+(1+'Inflación BE'!O29)^(365/30)-1</f>
        <v>0.23341299687848682</v>
      </c>
      <c r="F10" s="25">
        <f>+(1+'Inflación BE'!W29)^(365/30)-1</f>
        <v>0.2187144391593101</v>
      </c>
      <c r="G10" s="29">
        <f t="shared" si="0"/>
        <v>0.25808501432773412</v>
      </c>
    </row>
    <row r="11" spans="1:7" x14ac:dyDescent="0.4">
      <c r="A11" s="1">
        <f>+'Inflación BE'!A30</f>
        <v>46015</v>
      </c>
      <c r="B11" s="28"/>
      <c r="C11" s="25">
        <f>+(1+'Inflación BE'!S30)^(365/30)-1</f>
        <v>0.31401014136877192</v>
      </c>
      <c r="D11" s="25">
        <f>+(1+'Inflación BE'!K30)^(365/30)-1</f>
        <v>0.29480906460514444</v>
      </c>
      <c r="E11" s="25">
        <f>+(1+'Inflación BE'!O30)^(365/30)-1</f>
        <v>0.22565573799302574</v>
      </c>
      <c r="F11" s="25">
        <f>+(1+'Inflación BE'!W30)^(365/30)-1</f>
        <v>0.22577153628796487</v>
      </c>
      <c r="G11" s="29">
        <f t="shared" si="0"/>
        <v>0.26506162006372674</v>
      </c>
    </row>
    <row r="12" spans="1:7" x14ac:dyDescent="0.4">
      <c r="A12" s="1">
        <f>+'Inflación BE'!A31</f>
        <v>46017</v>
      </c>
      <c r="B12" s="28">
        <f>+(1+'Inflación BE'!G31)^(365/30)-1</f>
        <v>0.33610384944728211</v>
      </c>
      <c r="C12" s="25">
        <f>+(1+'Inflación BE'!S31)^(365/30)-1</f>
        <v>0.30118229160964383</v>
      </c>
      <c r="D12" s="25">
        <f>+(1+'Inflación BE'!K31)^(365/30)-1</f>
        <v>0.29001602658089243</v>
      </c>
      <c r="E12" s="25">
        <f>+(1+'Inflación BE'!O31)^(365/30)-1</f>
        <v>0.23439852790524651</v>
      </c>
      <c r="F12" s="25">
        <f>+(1+'Inflación BE'!W31)^(365/30)-1</f>
        <v>0.21735660480901764</v>
      </c>
      <c r="G12" s="29">
        <f t="shared" si="0"/>
        <v>0.27581146007041651</v>
      </c>
    </row>
    <row r="13" spans="1:7" x14ac:dyDescent="0.4">
      <c r="A13" s="1">
        <f>+'Inflación BE'!A32</f>
        <v>46020</v>
      </c>
      <c r="B13" s="28">
        <f>+(1+'Inflación BE'!G32)^(365/30)-1</f>
        <v>0.30308853401676483</v>
      </c>
      <c r="C13" s="25">
        <f>+(1+'Inflación BE'!S32)^(365/30)-1</f>
        <v>0.28712336575320974</v>
      </c>
      <c r="D13" s="25">
        <f>+(1+'Inflación BE'!K32)^(365/30)-1</f>
        <v>0.27439674116987312</v>
      </c>
      <c r="E13" s="25">
        <f>+(1+'Inflación BE'!O32)^(365/30)-1</f>
        <v>0.2299849207751159</v>
      </c>
      <c r="F13" s="25">
        <f>+(1+'Inflación BE'!W32)^(365/30)-1</f>
        <v>0.22325214568278184</v>
      </c>
      <c r="G13" s="29">
        <f t="shared" si="0"/>
        <v>0.26356914147954907</v>
      </c>
    </row>
    <row r="14" spans="1:7" x14ac:dyDescent="0.4">
      <c r="A14" s="1">
        <f>+'Inflación BE'!A33</f>
        <v>46021</v>
      </c>
      <c r="B14" s="28">
        <f>+(1+'Inflación BE'!G33)^(365/30)-1</f>
        <v>0.33722305729952629</v>
      </c>
      <c r="C14" s="25">
        <f>+(1+'Inflación BE'!S33)^(365/30)-1</f>
        <v>0.3017240764864062</v>
      </c>
      <c r="D14" s="25">
        <f>+(1+'Inflación BE'!K33)^(365/30)-1</f>
        <v>0.28413259745812014</v>
      </c>
      <c r="E14" s="25">
        <f>+(1+'Inflación BE'!O33)^(365/30)-1</f>
        <v>0.22174831355940938</v>
      </c>
      <c r="F14" s="25">
        <f>+(1+'Inflación BE'!W33)^(365/30)-1</f>
        <v>0.21676930020785323</v>
      </c>
      <c r="G14" s="29">
        <f t="shared" si="0"/>
        <v>0.27231946900226306</v>
      </c>
    </row>
    <row r="15" spans="1:7" x14ac:dyDescent="0.4">
      <c r="A15" s="1">
        <f>+'Inflación BE'!A34</f>
        <v>46024</v>
      </c>
      <c r="B15" s="28">
        <f>+(1+'Inflación BE'!G34)^(365/30)-1</f>
        <v>0.31897464898166916</v>
      </c>
      <c r="C15" s="25">
        <f>+(1+'Inflación BE'!S34)^(365/30)-1</f>
        <v>0.29758235746237061</v>
      </c>
      <c r="D15" s="25">
        <f>+(1+'Inflación BE'!K34)^(365/30)-1</f>
        <v>0.27966712814549477</v>
      </c>
      <c r="E15" s="25">
        <f>+(1+'Inflación BE'!O34)^(365/30)-1</f>
        <v>0.23555570515618895</v>
      </c>
      <c r="F15" s="25">
        <f>+(1+'Inflación BE'!W34)^(365/30)-1</f>
        <v>0.2279211615324459</v>
      </c>
      <c r="G15" s="29">
        <f t="shared" si="0"/>
        <v>0.27194020025563387</v>
      </c>
    </row>
    <row r="16" spans="1:7" x14ac:dyDescent="0.4">
      <c r="A16" s="1">
        <f>+'Inflación BE'!A35</f>
        <v>46027</v>
      </c>
      <c r="B16" s="28">
        <f>+(1+'Inflación BE'!G35)^(365/30)-1</f>
        <v>0.33011978241457007</v>
      </c>
      <c r="C16" s="25">
        <f>+(1+'Inflación BE'!S35)^(365/30)-1</f>
        <v>0.28665316891400838</v>
      </c>
      <c r="D16" s="25">
        <f>+(1+'Inflación BE'!K35)^(365/30)-1</f>
        <v>0.27826369793645367</v>
      </c>
      <c r="E16" s="25">
        <f>+(1+'Inflación BE'!O35)^(365/30)-1</f>
        <v>0.246535148550179</v>
      </c>
      <c r="F16" s="25">
        <f>+(1+'Inflación BE'!W35)^(365/30)-1</f>
        <v>0.22769096866033811</v>
      </c>
      <c r="G16" s="29">
        <f t="shared" si="0"/>
        <v>0.27385255329510982</v>
      </c>
    </row>
    <row r="17" spans="1:7" x14ac:dyDescent="0.4">
      <c r="A17" s="1">
        <f>+'Inflación BE'!A36</f>
        <v>46028</v>
      </c>
      <c r="B17" s="28">
        <f>+(1+'Inflación BE'!G36)^(365/30)-1</f>
        <v>0.33173109680725932</v>
      </c>
      <c r="C17" s="25">
        <f>+(1+'Inflación BE'!S36)^(365/30)-1</f>
        <v>0.28335145351548841</v>
      </c>
      <c r="D17" s="25">
        <f>+(1+'Inflación BE'!K36)^(365/30)-1</f>
        <v>0.28018430321714582</v>
      </c>
      <c r="E17" s="25">
        <f>+(1+'Inflación BE'!O36)^(365/30)-1</f>
        <v>0.25485463428358979</v>
      </c>
      <c r="F17" s="25">
        <f>+(1+'Inflación BE'!W36)^(365/30)-1</f>
        <v>0.2276540264595539</v>
      </c>
      <c r="G17" s="29">
        <f t="shared" si="0"/>
        <v>0.27555510285660745</v>
      </c>
    </row>
    <row r="18" spans="1:7" x14ac:dyDescent="0.4">
      <c r="A18" s="1">
        <f>+'Inflación BE'!A37</f>
        <v>46029</v>
      </c>
      <c r="B18" s="28">
        <f>+(1+'Inflación BE'!G37)^(365/30)-1</f>
        <v>0.33082283873455753</v>
      </c>
      <c r="C18" s="25">
        <f>+(1+'Inflación BE'!S37)^(365/30)-1</f>
        <v>0.30638617845347782</v>
      </c>
      <c r="D18" s="25">
        <f>+(1+'Inflación BE'!K37)^(365/30)-1</f>
        <v>0.28794452883796184</v>
      </c>
      <c r="E18" s="25">
        <f>+(1+'Inflación BE'!O37)^(365/30)-1</f>
        <v>0.25313645908654081</v>
      </c>
      <c r="F18" s="25">
        <f>+(1+'Inflación BE'!W37)^(365/30)-1</f>
        <v>0.22761379273176963</v>
      </c>
      <c r="G18" s="29">
        <f t="shared" si="0"/>
        <v>0.28118075956886152</v>
      </c>
    </row>
    <row r="19" spans="1:7" x14ac:dyDescent="0.4">
      <c r="A19" s="1">
        <f>+'Inflación BE'!A38</f>
        <v>46030</v>
      </c>
      <c r="B19" s="28">
        <f>+(1+'Inflación BE'!G38)^(365/30)-1</f>
        <v>0.33675445922184766</v>
      </c>
      <c r="C19" s="25">
        <f>+(1+'Inflación BE'!S38)^(365/30)-1</f>
        <v>0.30107201200729383</v>
      </c>
      <c r="D19" s="25">
        <f>+(1+'Inflación BE'!K38)^(365/30)-1</f>
        <v>0.29071957032228002</v>
      </c>
      <c r="E19" s="25">
        <f>+(1+'Inflación BE'!O38)^(365/30)-1</f>
        <v>0.25246707020706394</v>
      </c>
      <c r="F19" s="25">
        <f>+(1+'Inflación BE'!W38)^(365/30)-1</f>
        <v>0.22824501937449204</v>
      </c>
      <c r="G19" s="29">
        <f t="shared" si="0"/>
        <v>0.28185162622659549</v>
      </c>
    </row>
    <row r="20" spans="1:7" x14ac:dyDescent="0.4">
      <c r="A20" s="1">
        <f>+'Inflación BE'!A39</f>
        <v>46031</v>
      </c>
      <c r="B20" s="28">
        <f>+(1+'Inflación BE'!G39)^(365/30)-1</f>
        <v>0.36316336697727558</v>
      </c>
      <c r="C20" s="25">
        <f>+(1+'Inflación BE'!S39)^(365/30)-1</f>
        <v>0.31899470031398236</v>
      </c>
      <c r="D20" s="25">
        <f>+(1+'Inflación BE'!K39)^(365/30)-1</f>
        <v>0.31292869119574163</v>
      </c>
      <c r="E20" s="25">
        <f>+(1+'Inflación BE'!O39)^(365/30)-1</f>
        <v>0.26432791275525402</v>
      </c>
      <c r="F20" s="25">
        <f>+(1+'Inflación BE'!W39)^(365/30)-1</f>
        <v>0.23343136979779477</v>
      </c>
      <c r="G20" s="29">
        <f t="shared" si="0"/>
        <v>0.2985692082080097</v>
      </c>
    </row>
    <row r="21" spans="1:7" x14ac:dyDescent="0.4">
      <c r="A21" s="1">
        <f>+'Inflación BE'!A40</f>
        <v>46034</v>
      </c>
      <c r="B21" s="28">
        <f>+(1+'Inflación BE'!G40)^(365/30)-1</f>
        <v>0.34471346972642358</v>
      </c>
      <c r="C21" s="25">
        <f>+(1+'Inflación BE'!S40)^(365/30)-1</f>
        <v>0.31373577280682663</v>
      </c>
      <c r="D21" s="25">
        <f>+(1+'Inflación BE'!K40)^(365/30)-1</f>
        <v>0.31714933239402443</v>
      </c>
      <c r="E21" s="25">
        <f>+(1+'Inflación BE'!O40)^(365/30)-1</f>
        <v>0.25813109027567349</v>
      </c>
      <c r="F21" s="25">
        <f>+(1+'Inflación BE'!W40)^(365/30)-1</f>
        <v>0.23539191476098842</v>
      </c>
      <c r="G21" s="29">
        <f t="shared" si="0"/>
        <v>0.2938243159927873</v>
      </c>
    </row>
    <row r="22" spans="1:7" x14ac:dyDescent="0.4">
      <c r="A22" s="1">
        <f>+'Inflación BE'!A41</f>
        <v>46035</v>
      </c>
      <c r="B22" s="28">
        <f>+(1+'Inflación BE'!G41)^(365/30)-1</f>
        <v>0.37138963602318609</v>
      </c>
      <c r="C22" s="25">
        <f>+(1+'Inflación BE'!S41)^(365/30)-1</f>
        <v>0.33034756412526023</v>
      </c>
      <c r="D22" s="25">
        <f>+(1+'Inflación BE'!K41)^(365/30)-1</f>
        <v>0.3202653647794016</v>
      </c>
      <c r="E22" s="25">
        <f>+(1+'Inflación BE'!O41)^(365/30)-1</f>
        <v>0.2633798242861185</v>
      </c>
      <c r="F22" s="25">
        <f>+(1+'Inflación BE'!W41)^(365/30)-1</f>
        <v>0.23895833761042784</v>
      </c>
      <c r="G22" s="29">
        <f t="shared" si="0"/>
        <v>0.30486814536487883</v>
      </c>
    </row>
    <row r="23" spans="1:7" x14ac:dyDescent="0.4">
      <c r="A23" s="1">
        <f>+'Inflación BE'!A42</f>
        <v>46036</v>
      </c>
      <c r="B23" s="28">
        <f>+(1+'Inflación BE'!G42)^(365/30)-1</f>
        <v>0.37394746261363943</v>
      </c>
      <c r="C23" s="25">
        <f>+(1+'Inflación BE'!S42)^(365/30)-1</f>
        <v>0.3305555605661743</v>
      </c>
      <c r="D23" s="25">
        <f>+(1+'Inflación BE'!K42)^(365/30)-1</f>
        <v>0.31655689479264093</v>
      </c>
      <c r="E23" s="25">
        <f>+(1+'Inflación BE'!O42)^(365/30)-1</f>
        <v>0.26211715079011322</v>
      </c>
      <c r="F23" s="25">
        <f>+(1+'Inflación BE'!W42)^(365/30)-1</f>
        <v>0.23730618711189044</v>
      </c>
      <c r="G23" s="29">
        <f t="shared" si="0"/>
        <v>0.30409665117489165</v>
      </c>
    </row>
    <row r="24" spans="1:7" x14ac:dyDescent="0.4">
      <c r="A24" s="1">
        <f>+'Inflación BE'!A43</f>
        <v>46037</v>
      </c>
      <c r="B24" s="28">
        <f>+(1+'Inflación BE'!G43)^(365/30)-1</f>
        <v>0.36779531633118623</v>
      </c>
      <c r="C24" s="25">
        <f>+(1+'Inflación BE'!S43)^(365/30)-1</f>
        <v>0.31402892045237807</v>
      </c>
      <c r="D24" s="25">
        <f>+(1+'Inflación BE'!K43)^(365/30)-1</f>
        <v>0.30642620594126257</v>
      </c>
      <c r="E24" s="25">
        <f>+(1+'Inflación BE'!O43)^(365/30)-1</f>
        <v>0.24141574590453851</v>
      </c>
      <c r="F24" s="25">
        <f>+(1+'Inflación BE'!W43)^(365/30)-1</f>
        <v>0.22063915672194678</v>
      </c>
      <c r="G24" s="29">
        <f t="shared" si="0"/>
        <v>0.29006106907026241</v>
      </c>
    </row>
    <row r="25" spans="1:7" x14ac:dyDescent="0.4">
      <c r="A25" s="1">
        <f>+'Inflación BE'!A44</f>
        <v>46038</v>
      </c>
      <c r="B25" s="28">
        <f>+(1+'Inflación BE'!G44)^(365/30)-1</f>
        <v>0.36967162375531459</v>
      </c>
      <c r="C25" s="25">
        <f>+(1+'Inflación BE'!S44)^(365/30)-1</f>
        <v>0.33195007161943568</v>
      </c>
      <c r="D25" s="25">
        <f>+(1+'Inflación BE'!K44)^(365/30)-1</f>
        <v>0.31231697218881727</v>
      </c>
      <c r="E25" s="25">
        <f>+(1+'Inflación BE'!O44)^(365/30)-1</f>
        <v>0.24672793865671938</v>
      </c>
      <c r="F25" s="25">
        <f>+(1+'Inflación BE'!W44)^(365/30)-1</f>
        <v>0.21821084064570195</v>
      </c>
      <c r="G25" s="29">
        <f t="shared" si="0"/>
        <v>0.29577548937319775</v>
      </c>
    </row>
    <row r="26" spans="1:7" x14ac:dyDescent="0.4">
      <c r="A26" s="1">
        <f>+'Inflación BE'!A45</f>
        <v>46041</v>
      </c>
      <c r="B26" s="28">
        <f>+(1+'Inflación BE'!G45)^(365/30)-1</f>
        <v>0.2955096959876824</v>
      </c>
      <c r="C26" s="25">
        <f>+(1+'Inflación BE'!S45)^(365/30)-1</f>
        <v>0.31254238836470871</v>
      </c>
      <c r="D26" s="25">
        <f>+(1+'Inflación BE'!K45)^(365/30)-1</f>
        <v>0.28551758023684637</v>
      </c>
      <c r="E26" s="25">
        <f>+(1+'Inflación BE'!O45)^(365/30)-1</f>
        <v>0.22936946725450169</v>
      </c>
      <c r="F26" s="25">
        <f>+(1+'Inflación BE'!W45)^(365/30)-1</f>
        <v>0.21213290341284408</v>
      </c>
      <c r="G26" s="29">
        <f t="shared" si="0"/>
        <v>0.26701440705131663</v>
      </c>
    </row>
    <row r="27" spans="1:7" x14ac:dyDescent="0.4">
      <c r="A27" s="1">
        <f>+'Inflación BE'!A46</f>
        <v>46042</v>
      </c>
      <c r="B27" s="28">
        <f>+(1+'Inflación BE'!G46)^(365/30)-1</f>
        <v>0.27148541002423832</v>
      </c>
      <c r="C27" s="25">
        <f>+(1+'Inflación BE'!S46)^(365/30)-1</f>
        <v>0.28412121579217664</v>
      </c>
      <c r="D27" s="25">
        <f>+(1+'Inflación BE'!K46)^(365/30)-1</f>
        <v>0.28839215940255136</v>
      </c>
      <c r="E27" s="25">
        <f>+(1+'Inflación BE'!O46)^(365/30)-1</f>
        <v>0.22989296556056527</v>
      </c>
      <c r="F27" s="25">
        <f>+(1+'Inflación BE'!W46)^(365/30)-1</f>
        <v>0.20936070745952939</v>
      </c>
      <c r="G27" s="29">
        <f t="shared" si="0"/>
        <v>0.25665049164781217</v>
      </c>
    </row>
    <row r="28" spans="1:7" x14ac:dyDescent="0.4">
      <c r="A28" s="1">
        <f>+'Inflación BE'!A47</f>
        <v>46043</v>
      </c>
      <c r="B28" s="28">
        <f>+(1+'Inflación BE'!G47)^(365/30)-1</f>
        <v>0.27041296560413741</v>
      </c>
      <c r="C28" s="25">
        <f>+(1+'Inflación BE'!S47)^(365/30)-1</f>
        <v>0.28921631731726571</v>
      </c>
      <c r="D28" s="25">
        <f>+(1+'Inflación BE'!K47)^(365/30)-1</f>
        <v>0.28164856588806253</v>
      </c>
      <c r="E28" s="25">
        <f>+(1+'Inflación BE'!O47)^(365/30)-1</f>
        <v>0.23972222217543049</v>
      </c>
      <c r="F28" s="25">
        <f>+(1+'Inflación BE'!W47)^(365/30)-1</f>
        <v>0.21174978271352152</v>
      </c>
      <c r="G28" s="29">
        <f t="shared" si="0"/>
        <v>0.25854997073968355</v>
      </c>
    </row>
    <row r="29" spans="1:7" x14ac:dyDescent="0.4">
      <c r="A29" s="1">
        <f>+'Inflación BE'!A48</f>
        <v>46044</v>
      </c>
      <c r="B29" s="28">
        <f>+(1+'Inflación BE'!G48)^(365/30)-1</f>
        <v>0.26446235414204988</v>
      </c>
      <c r="C29" s="25">
        <f>+(1+'Inflación BE'!S48)^(365/30)-1</f>
        <v>0.27609761857175186</v>
      </c>
      <c r="D29" s="25">
        <f>+(1+'Inflación BE'!K48)^(365/30)-1</f>
        <v>0.28204879318328735</v>
      </c>
      <c r="E29" s="25">
        <f>+(1+'Inflación BE'!O48)^(365/30)-1</f>
        <v>0.24814270636990354</v>
      </c>
      <c r="F29" s="25">
        <f>+(1+'Inflación BE'!W48)^(365/30)-1</f>
        <v>0.21561277367141995</v>
      </c>
      <c r="G29" s="29">
        <f t="shared" si="0"/>
        <v>0.25727284918768251</v>
      </c>
    </row>
    <row r="30" spans="1:7" x14ac:dyDescent="0.4">
      <c r="A30" s="1">
        <f>+'Inflación BE'!A49</f>
        <v>46045</v>
      </c>
      <c r="B30" s="28">
        <f>+(1+'Inflación BE'!G49)^(365/30)-1</f>
        <v>0.3263616210164646</v>
      </c>
      <c r="C30" s="25">
        <f>+(1+'Inflación BE'!S49)^(365/30)-1</f>
        <v>0.29160081997186293</v>
      </c>
      <c r="D30" s="25">
        <f>+(1+'Inflación BE'!K49)^(365/30)-1</f>
        <v>0.29032113019753814</v>
      </c>
      <c r="E30" s="25">
        <f>+(1+'Inflación BE'!O49)^(365/30)-1</f>
        <v>0.24573919974768121</v>
      </c>
      <c r="F30" s="25">
        <f>+(1+'Inflación BE'!W49)^(365/30)-1</f>
        <v>0.21371049812499332</v>
      </c>
      <c r="G30" s="29">
        <f t="shared" si="0"/>
        <v>0.27354665381170806</v>
      </c>
    </row>
    <row r="31" spans="1:7" x14ac:dyDescent="0.4">
      <c r="A31" s="1">
        <f>+'Inflación BE'!A50</f>
        <v>46048</v>
      </c>
      <c r="B31" s="28">
        <f>+(1+'Inflación BE'!G50)^(365/30)-1</f>
        <v>0.31814854161920714</v>
      </c>
      <c r="C31" s="25">
        <f>+(1+'Inflación BE'!S50)^(365/30)-1</f>
        <v>0.29311516262847914</v>
      </c>
      <c r="D31" s="25">
        <f>+(1+'Inflación BE'!K50)^(365/30)-1</f>
        <v>0.29234255114668484</v>
      </c>
      <c r="E31" s="25">
        <f>+(1+'Inflación BE'!O50)^(365/30)-1</f>
        <v>0.24319782527057421</v>
      </c>
      <c r="F31" s="25">
        <f>+(1+'Inflación BE'!W50)^(365/30)-1</f>
        <v>0.21470051739073837</v>
      </c>
      <c r="G31" s="29">
        <f t="shared" si="0"/>
        <v>0.27230091961113673</v>
      </c>
    </row>
    <row r="32" spans="1:7" x14ac:dyDescent="0.4">
      <c r="A32" s="1">
        <f>+'Inflación BE'!A51</f>
        <v>46049</v>
      </c>
      <c r="B32" s="28">
        <f>+(1+'Inflación BE'!G51)^(365/30)-1</f>
        <v>0.32385745450737313</v>
      </c>
      <c r="C32" s="25">
        <f>+(1+'Inflación BE'!S51)^(365/30)-1</f>
        <v>0.27681681461678309</v>
      </c>
      <c r="D32" s="25">
        <f>+(1+'Inflación BE'!K51)^(365/30)-1</f>
        <v>0.28596671172801447</v>
      </c>
      <c r="E32" s="25">
        <f>+(1+'Inflación BE'!O51)^(365/30)-1</f>
        <v>0.24672707498835811</v>
      </c>
      <c r="F32" s="25">
        <f>+(1+'Inflación BE'!W51)^(365/30)-1</f>
        <v>0.2104149551169836</v>
      </c>
      <c r="G32" s="29">
        <f t="shared" si="0"/>
        <v>0.26875660219150249</v>
      </c>
    </row>
    <row r="33" spans="1:7" x14ac:dyDescent="0.4">
      <c r="A33" s="1">
        <f>+'Inflación BE'!A52</f>
        <v>46050</v>
      </c>
      <c r="B33" s="28">
        <f>+(1+'Inflación BE'!G52)^(365/30)-1</f>
        <v>0.32778080468132931</v>
      </c>
      <c r="C33" s="25">
        <f>+(1+'Inflación BE'!S52)^(365/30)-1</f>
        <v>0.25682562951124699</v>
      </c>
      <c r="D33" s="25">
        <f>+(1+'Inflación BE'!K52)^(365/30)-1</f>
        <v>0.28751143250095934</v>
      </c>
      <c r="E33" s="25">
        <f>+(1+'Inflación BE'!O52)^(365/30)-1</f>
        <v>0.23878006767494298</v>
      </c>
      <c r="F33" s="25">
        <f>+(1+'Inflación BE'!W52)^(365/30)-1</f>
        <v>0.20964547406121659</v>
      </c>
      <c r="G33" s="29">
        <f t="shared" si="0"/>
        <v>0.26410868168593904</v>
      </c>
    </row>
    <row r="34" spans="1:7" x14ac:dyDescent="0.4">
      <c r="A34" s="1">
        <f>+'Inflación BE'!A53</f>
        <v>46051</v>
      </c>
      <c r="B34" s="28">
        <f>+(1+'Inflación BE'!G53)^(365/30)-1</f>
        <v>0.32603953530912588</v>
      </c>
      <c r="C34" s="25">
        <f>+(1+'Inflación BE'!S53)^(365/30)-1</f>
        <v>0.27837871632745381</v>
      </c>
      <c r="D34" s="25">
        <f>+(1+'Inflación BE'!K53)^(365/30)-1</f>
        <v>0.27292363001802911</v>
      </c>
      <c r="E34" s="25">
        <f>+(1+'Inflación BE'!O53)^(365/30)-1</f>
        <v>0.23679987374239442</v>
      </c>
      <c r="F34" s="25">
        <f>+(1+'Inflación BE'!W53)^(365/30)-1</f>
        <v>0.2099905292919193</v>
      </c>
      <c r="G34" s="29">
        <f t="shared" si="0"/>
        <v>0.2648264569377845</v>
      </c>
    </row>
    <row r="35" spans="1:7" x14ac:dyDescent="0.4">
      <c r="A35" s="1">
        <f>+'Inflación BE'!A54</f>
        <v>46052</v>
      </c>
      <c r="B35" s="28">
        <f>+(1+'Inflación BE'!G54)^(365/30)-1</f>
        <v>0.37168762758700402</v>
      </c>
      <c r="C35" s="25">
        <f>+(1+'Inflación BE'!S54)^(365/30)-1</f>
        <v>0.28217057688098945</v>
      </c>
      <c r="D35" s="25">
        <f>+(1+'Inflación BE'!K54)^(365/30)-1</f>
        <v>0.2753486868755084</v>
      </c>
      <c r="E35" s="25">
        <f>+(1+'Inflación BE'!O54)^(365/30)-1</f>
        <v>0.23465879408915491</v>
      </c>
      <c r="F35" s="25">
        <f>+(1+'Inflación BE'!W54)^(365/30)-1</f>
        <v>0.21059712171396061</v>
      </c>
      <c r="G35" s="29">
        <f t="shared" si="0"/>
        <v>0.2748925614293235</v>
      </c>
    </row>
    <row r="36" spans="1:7" x14ac:dyDescent="0.4">
      <c r="A36" s="1">
        <f>+'Inflación BE'!A55</f>
        <v>46055</v>
      </c>
      <c r="B36" s="28">
        <f>+(1+'Inflación BE'!G55)^(365/30)-1</f>
        <v>0.35597099316215086</v>
      </c>
      <c r="C36" s="25">
        <f>+(1+'Inflación BE'!S55)^(365/30)-1</f>
        <v>0.270026931363331</v>
      </c>
      <c r="D36" s="25">
        <f>+(1+'Inflación BE'!K55)^(365/30)-1</f>
        <v>0.27362551405351088</v>
      </c>
      <c r="E36" s="25">
        <f>+(1+'Inflación BE'!O55)^(365/30)-1</f>
        <v>0.23003291178913754</v>
      </c>
      <c r="F36" s="25">
        <f>+(1+'Inflación BE'!W55)^(365/30)-1</f>
        <v>0.21050646931859363</v>
      </c>
      <c r="G36" s="29">
        <f t="shared" si="0"/>
        <v>0.26803256393734476</v>
      </c>
    </row>
    <row r="37" spans="1:7" x14ac:dyDescent="0.4">
      <c r="A37" s="1">
        <f>+'Inflación BE'!A56</f>
        <v>46056</v>
      </c>
      <c r="B37" s="28">
        <f>+(1+'Inflación BE'!G56)^(365/30)-1</f>
        <v>0.34994399813246324</v>
      </c>
      <c r="C37" s="25">
        <f>+(1+'Inflación BE'!S56)^(365/30)-1</f>
        <v>0.3001299621073279</v>
      </c>
      <c r="D37" s="25">
        <f>+(1+'Inflación BE'!K56)^(365/30)-1</f>
        <v>0.28208585193280333</v>
      </c>
      <c r="E37" s="25">
        <f>+(1+'Inflación BE'!O56)^(365/30)-1</f>
        <v>0.24146355375697603</v>
      </c>
      <c r="F37" s="25">
        <f>+(1+'Inflación BE'!W56)^(365/30)-1</f>
        <v>0.21137576990604701</v>
      </c>
      <c r="G37" s="29">
        <f t="shared" si="0"/>
        <v>0.27699982716712351</v>
      </c>
    </row>
    <row r="38" spans="1:7" x14ac:dyDescent="0.4">
      <c r="A38" s="1">
        <f>+'Inflación BE'!A57</f>
        <v>46057</v>
      </c>
      <c r="B38" s="28">
        <f>+(1+'Inflación BE'!G57)^(365/30)-1</f>
        <v>0.35736838249819503</v>
      </c>
      <c r="C38" s="25">
        <f>+(1+'Inflación BE'!S57)^(365/30)-1</f>
        <v>0.29177221427727607</v>
      </c>
      <c r="D38" s="25">
        <f>+(1+'Inflación BE'!K57)^(365/30)-1</f>
        <v>0.28908598479947578</v>
      </c>
      <c r="E38" s="25">
        <f>+(1+'Inflación BE'!O57)^(365/30)-1</f>
        <v>0.25081515385702469</v>
      </c>
      <c r="F38" s="25">
        <f>+(1+'Inflación BE'!W57)^(365/30)-1</f>
        <v>0.21647260609108554</v>
      </c>
      <c r="G38" s="29">
        <f t="shared" si="0"/>
        <v>0.2811028683046114</v>
      </c>
    </row>
    <row r="39" spans="1:7" x14ac:dyDescent="0.4">
      <c r="A39" s="1">
        <f>+'Inflación BE'!A58</f>
        <v>46058</v>
      </c>
      <c r="B39" s="28">
        <f>+(1+'Inflación BE'!G58)^(365/30)-1</f>
        <v>0.36409846336284435</v>
      </c>
      <c r="C39" s="25">
        <f>+(1+'Inflación BE'!S58)^(365/30)-1</f>
        <v>0.31652449505006963</v>
      </c>
      <c r="D39" s="25">
        <f>+(1+'Inflación BE'!K58)^(365/30)-1</f>
        <v>0.31571894333651995</v>
      </c>
      <c r="E39" s="25">
        <f>+(1+'Inflación BE'!O58)^(365/30)-1</f>
        <v>0.26018001873969965</v>
      </c>
      <c r="F39" s="25">
        <f>+(1+'Inflación BE'!W58)^(365/30)-1</f>
        <v>0.22660314326251441</v>
      </c>
      <c r="G39" s="29">
        <f t="shared" si="0"/>
        <v>0.2966250127503296</v>
      </c>
    </row>
    <row r="40" spans="1:7" x14ac:dyDescent="0.4">
      <c r="A40" s="1">
        <f>+'Inflación BE'!A59</f>
        <v>46059</v>
      </c>
      <c r="B40" s="28">
        <f>+(1+'Inflación BE'!G59)^(365/30)-1</f>
        <v>0.38846530257544987</v>
      </c>
      <c r="C40" s="25">
        <f>+(1+'Inflación BE'!S59)^(365/30)-1</f>
        <v>0.32820917663525284</v>
      </c>
      <c r="D40" s="25">
        <f>+(1+'Inflación BE'!K59)^(365/30)-1</f>
        <v>0.32281507891644656</v>
      </c>
      <c r="E40" s="25">
        <f>+(1+'Inflación BE'!O59)^(365/30)-1</f>
        <v>0.27070779308964243</v>
      </c>
      <c r="F40" s="25">
        <f>+(1+'Inflación BE'!W59)^(365/30)-1</f>
        <v>0.22749437749567814</v>
      </c>
      <c r="G40" s="29">
        <f t="shared" si="0"/>
        <v>0.30753834574249395</v>
      </c>
    </row>
    <row r="41" spans="1:7" x14ac:dyDescent="0.4">
      <c r="A41" s="1">
        <f>+'Inflación BE'!A60</f>
        <v>46062</v>
      </c>
      <c r="B41" s="28">
        <f>+(1+'Inflación BE'!G60)^(365/30)-1</f>
        <v>0.37223328352852914</v>
      </c>
      <c r="C41" s="25">
        <f>+(1+'Inflación BE'!S60)^(365/30)-1</f>
        <v>0.31883248428536159</v>
      </c>
      <c r="D41" s="25">
        <f>+(1+'Inflación BE'!K60)^(365/30)-1</f>
        <v>0.32603593726416502</v>
      </c>
      <c r="E41" s="25">
        <f>+(1+'Inflación BE'!O60)^(365/30)-1</f>
        <v>0.27780329335995346</v>
      </c>
      <c r="F41" s="25">
        <f>+(1+'Inflación BE'!W60)^(365/30)-1</f>
        <v>0.22951799908495252</v>
      </c>
      <c r="G41" s="29">
        <f t="shared" si="0"/>
        <v>0.30488459950459235</v>
      </c>
    </row>
    <row r="42" spans="1:7" x14ac:dyDescent="0.4">
      <c r="A42" s="1">
        <f>+'Inflación BE'!A61</f>
        <v>46063</v>
      </c>
      <c r="B42" s="28">
        <f>+(1+'Inflación BE'!G61)^(365/30)-1</f>
        <v>0.43649827401763597</v>
      </c>
      <c r="C42" s="25">
        <f>+(1+'Inflación BE'!S61)^(365/30)-1</f>
        <v>0.3373545574297121</v>
      </c>
      <c r="D42" s="25">
        <f>+(1+'Inflación BE'!K61)^(365/30)-1</f>
        <v>0.33148516301904563</v>
      </c>
      <c r="E42" s="25">
        <f>+(1+'Inflación BE'!O61)^(365/30)-1</f>
        <v>0.28072955666525057</v>
      </c>
      <c r="F42" s="25">
        <f>+(1+'Inflación BE'!W61)^(365/30)-1</f>
        <v>0.22768508243149155</v>
      </c>
      <c r="G42" s="29">
        <f t="shared" si="0"/>
        <v>0.32275052671262716</v>
      </c>
    </row>
    <row r="43" spans="1:7" x14ac:dyDescent="0.4">
      <c r="A43" s="1">
        <f>+'Inflación BE'!A62</f>
        <v>46064</v>
      </c>
      <c r="B43" s="28">
        <f>+(1+'Inflación BE'!G62)^(365/30)-1</f>
        <v>0.43784032894213376</v>
      </c>
      <c r="C43" s="25">
        <f>+(1+'Inflación BE'!S62)^(365/30)-1</f>
        <v>0.33550384374030662</v>
      </c>
      <c r="D43" s="25">
        <f>+(1+'Inflación BE'!K62)^(365/30)-1</f>
        <v>0.33529403504846678</v>
      </c>
      <c r="E43" s="25">
        <f>+(1+'Inflación BE'!O62)^(365/30)-1</f>
        <v>0.26846282671015831</v>
      </c>
      <c r="F43" s="25">
        <f>+(1+'Inflación BE'!W62)^(365/30)-1</f>
        <v>0.2280443847764646</v>
      </c>
      <c r="G43" s="29">
        <f t="shared" si="0"/>
        <v>0.32102908384350604</v>
      </c>
    </row>
    <row r="44" spans="1:7" x14ac:dyDescent="0.4">
      <c r="A44" s="1">
        <f>+'Inflación BE'!A63</f>
        <v>46065</v>
      </c>
      <c r="B44" s="28">
        <f>+(1+'Inflación BE'!G63)^(365/30)-1</f>
        <v>0.47083383352127428</v>
      </c>
      <c r="C44" s="25">
        <f>+(1+'Inflación BE'!S63)^(365/30)-1</f>
        <v>0.30708746911802476</v>
      </c>
      <c r="D44" s="25">
        <f>+(1+'Inflación BE'!K63)^(365/30)-1</f>
        <v>0.29128782155487043</v>
      </c>
      <c r="E44" s="25">
        <f>+(1+'Inflación BE'!O63)^(365/30)-1</f>
        <v>0.25097820281094063</v>
      </c>
      <c r="F44" s="25">
        <f>+(1+'Inflación BE'!W63)^(365/30)-1</f>
        <v>0.21281570148886519</v>
      </c>
      <c r="G44" s="29">
        <f t="shared" si="0"/>
        <v>0.30660060569879505</v>
      </c>
    </row>
    <row r="45" spans="1:7" x14ac:dyDescent="0.4">
      <c r="A45" s="1">
        <f>+'Inflación BE'!A64</f>
        <v>46066</v>
      </c>
      <c r="B45" s="28">
        <f>+(1+'Inflación BE'!G64)^(365/30)-1</f>
        <v>-0.22171159962808606</v>
      </c>
      <c r="C45" s="25">
        <f>+(1+'Inflación BE'!S64)^(365/30)-1</f>
        <v>0.32826471372041421</v>
      </c>
      <c r="D45" s="25">
        <f>+(1+'Inflación BE'!K64)^(365/30)-1</f>
        <v>0.29932034195450252</v>
      </c>
      <c r="E45" s="25">
        <f>+(1+'Inflación BE'!O64)^(365/30)-1</f>
        <v>0.24106657673078091</v>
      </c>
      <c r="F45" s="25">
        <f>+(1+'Inflación BE'!W64)^(365/30)-1</f>
        <v>0.21933214511547572</v>
      </c>
      <c r="G45" s="29">
        <f t="shared" si="0"/>
        <v>0.17325443557861747</v>
      </c>
    </row>
    <row r="46" spans="1:7" x14ac:dyDescent="0.4">
      <c r="A46" s="1">
        <f>+'Inflación BE'!A65</f>
        <v>46071</v>
      </c>
      <c r="B46" s="28">
        <f>+(1+'Inflación BE'!G65)^(365/30)-1</f>
        <v>0.42958677339467299</v>
      </c>
      <c r="C46" s="25">
        <f>+(1+'Inflación BE'!S65)^(365/30)-1</f>
        <v>0.32116292298568916</v>
      </c>
      <c r="D46" s="25">
        <f>+(1+'Inflación BE'!K65)^(365/30)-1</f>
        <v>0.28702723603749147</v>
      </c>
      <c r="E46" s="25">
        <f>+(1+'Inflación BE'!O65)^(365/30)-1</f>
        <v>0.2400457961102791</v>
      </c>
      <c r="F46" s="25">
        <f>+(1+'Inflación BE'!W65)^(365/30)-1</f>
        <v>0.21813577129022677</v>
      </c>
      <c r="G46" s="29">
        <f t="shared" si="0"/>
        <v>0.2991916999636719</v>
      </c>
    </row>
    <row r="47" spans="1:7" x14ac:dyDescent="0.4">
      <c r="A47" s="1">
        <f>+'Inflación BE'!A66</f>
        <v>46072</v>
      </c>
      <c r="B47" s="28">
        <f>+(1+'Inflación BE'!G66)^(365/30)-1</f>
        <v>0.58867579466363518</v>
      </c>
      <c r="C47" s="25">
        <f>+(1+'Inflación BE'!S66)^(365/30)-1</f>
        <v>0.3211635333370968</v>
      </c>
      <c r="D47" s="25">
        <f>+(1+'Inflación BE'!K66)^(365/30)-1</f>
        <v>0.30948467018634207</v>
      </c>
      <c r="E47" s="25">
        <f>+(1+'Inflación BE'!O66)^(365/30)-1</f>
        <v>0.23701196381634904</v>
      </c>
      <c r="F47" s="25">
        <f>+(1+'Inflación BE'!W66)^(365/30)-1</f>
        <v>0.22077110334853467</v>
      </c>
      <c r="G47" s="29">
        <f t="shared" si="0"/>
        <v>0.33542141307039153</v>
      </c>
    </row>
    <row r="48" spans="1:7" x14ac:dyDescent="0.4">
      <c r="A48" s="1">
        <f>+'Inflación BE'!A67</f>
        <v>46073</v>
      </c>
      <c r="B48" s="28">
        <f>+(1+'Inflación BE'!G67)^(365/30)-1</f>
        <v>0.13612470572863744</v>
      </c>
      <c r="C48" s="25">
        <f>+(1+'Inflación BE'!S67)^(365/30)-1</f>
        <v>0.33109759921674065</v>
      </c>
      <c r="D48" s="25">
        <f>+(1+'Inflación BE'!K67)^(365/30)-1</f>
        <v>0.30656361959373091</v>
      </c>
      <c r="E48" s="25">
        <f>+(1+'Inflación BE'!O67)^(365/30)-1</f>
        <v>0.22701686555209766</v>
      </c>
      <c r="F48" s="25">
        <f>+(1+'Inflación BE'!W67)^(365/30)-1</f>
        <v>0.22062532012858971</v>
      </c>
      <c r="G48" s="29">
        <f t="shared" si="0"/>
        <v>0.24428562204395926</v>
      </c>
    </row>
    <row r="49" spans="1:7" x14ac:dyDescent="0.4">
      <c r="A49" s="1">
        <f>+'Inflación BE'!A68</f>
        <v>46076</v>
      </c>
      <c r="B49" s="28">
        <f>+(1+'Inflación BE'!G68)^(365/30)-1</f>
        <v>0.68545835310750092</v>
      </c>
      <c r="C49" s="25">
        <f>+(1+'Inflación BE'!S68)^(365/30)-1</f>
        <v>0.31718371294613257</v>
      </c>
      <c r="D49" s="25">
        <f>+(1+'Inflación BE'!K68)^(365/30)-1</f>
        <v>0.29691376258568924</v>
      </c>
      <c r="E49" s="25">
        <f>+(1+'Inflación BE'!O68)^(365/30)-1</f>
        <v>0.23201900380603036</v>
      </c>
      <c r="F49" s="25">
        <f>+(1+'Inflación BE'!W68)^(365/30)-1</f>
        <v>0.21671633578452321</v>
      </c>
      <c r="G49" s="29">
        <f t="shared" si="0"/>
        <v>0.34965823364597526</v>
      </c>
    </row>
    <row r="50" spans="1:7" s="23" customFormat="1" x14ac:dyDescent="0.4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F008-F478-4DDE-8995-837DC2FDD77E}">
  <dimension ref="A1:A231"/>
  <sheetViews>
    <sheetView topLeftCell="A106" workbookViewId="0">
      <selection activeCell="A113" sqref="A113"/>
    </sheetView>
  </sheetViews>
  <sheetFormatPr baseColWidth="10" defaultRowHeight="15" x14ac:dyDescent="0.4"/>
  <cols>
    <col min="1" max="1" width="10.6640625" style="4"/>
  </cols>
  <sheetData>
    <row r="1" spans="1:1" x14ac:dyDescent="0.4">
      <c r="A1" s="2" t="s">
        <v>11</v>
      </c>
    </row>
    <row r="2" spans="1:1" x14ac:dyDescent="0.4">
      <c r="A2" s="3">
        <v>44197</v>
      </c>
    </row>
    <row r="3" spans="1:1" x14ac:dyDescent="0.4">
      <c r="A3" s="3">
        <v>44242</v>
      </c>
    </row>
    <row r="4" spans="1:1" x14ac:dyDescent="0.4">
      <c r="A4" s="3">
        <v>44243</v>
      </c>
    </row>
    <row r="5" spans="1:1" x14ac:dyDescent="0.4">
      <c r="A5" s="3">
        <v>44279</v>
      </c>
    </row>
    <row r="6" spans="1:1" x14ac:dyDescent="0.4">
      <c r="A6" s="3">
        <v>44287</v>
      </c>
    </row>
    <row r="7" spans="1:1" x14ac:dyDescent="0.4">
      <c r="A7" s="3">
        <v>44288</v>
      </c>
    </row>
    <row r="8" spans="1:1" x14ac:dyDescent="0.4">
      <c r="A8" s="3">
        <v>44310</v>
      </c>
    </row>
    <row r="9" spans="1:1" x14ac:dyDescent="0.4">
      <c r="A9" s="3">
        <v>44317</v>
      </c>
    </row>
    <row r="10" spans="1:1" x14ac:dyDescent="0.4">
      <c r="A10" s="3">
        <v>44340</v>
      </c>
    </row>
    <row r="11" spans="1:1" x14ac:dyDescent="0.4">
      <c r="A11" s="3">
        <v>44341</v>
      </c>
    </row>
    <row r="12" spans="1:1" x14ac:dyDescent="0.4">
      <c r="A12" s="3">
        <v>44367</v>
      </c>
    </row>
    <row r="13" spans="1:1" x14ac:dyDescent="0.4">
      <c r="A13" s="3">
        <v>44368</v>
      </c>
    </row>
    <row r="14" spans="1:1" x14ac:dyDescent="0.4">
      <c r="A14" s="3">
        <v>44386</v>
      </c>
    </row>
    <row r="15" spans="1:1" x14ac:dyDescent="0.4">
      <c r="A15" s="3">
        <v>44424</v>
      </c>
    </row>
    <row r="16" spans="1:1" x14ac:dyDescent="0.4">
      <c r="A16" s="3">
        <v>44477</v>
      </c>
    </row>
    <row r="17" spans="1:1" x14ac:dyDescent="0.4">
      <c r="A17" s="3">
        <v>44480</v>
      </c>
    </row>
    <row r="18" spans="1:1" x14ac:dyDescent="0.4">
      <c r="A18" s="3">
        <v>44520</v>
      </c>
    </row>
    <row r="19" spans="1:1" x14ac:dyDescent="0.4">
      <c r="A19" s="3">
        <v>44522</v>
      </c>
    </row>
    <row r="20" spans="1:1" x14ac:dyDescent="0.4">
      <c r="A20" s="3">
        <v>44538</v>
      </c>
    </row>
    <row r="21" spans="1:1" x14ac:dyDescent="0.4">
      <c r="A21" s="3">
        <v>44554</v>
      </c>
    </row>
    <row r="22" spans="1:1" x14ac:dyDescent="0.4">
      <c r="A22" s="3">
        <v>44555</v>
      </c>
    </row>
    <row r="23" spans="1:1" x14ac:dyDescent="0.4">
      <c r="A23" s="3">
        <v>44561</v>
      </c>
    </row>
    <row r="24" spans="1:1" x14ac:dyDescent="0.4">
      <c r="A24" s="3">
        <v>44562</v>
      </c>
    </row>
    <row r="25" spans="1:1" x14ac:dyDescent="0.4">
      <c r="A25" s="3">
        <v>44620</v>
      </c>
    </row>
    <row r="26" spans="1:1" x14ac:dyDescent="0.4">
      <c r="A26" s="3">
        <v>44621</v>
      </c>
    </row>
    <row r="27" spans="1:1" x14ac:dyDescent="0.4">
      <c r="A27" s="3">
        <v>44644</v>
      </c>
    </row>
    <row r="28" spans="1:1" x14ac:dyDescent="0.4">
      <c r="A28" s="3">
        <v>44653</v>
      </c>
    </row>
    <row r="29" spans="1:1" x14ac:dyDescent="0.4">
      <c r="A29" s="3">
        <v>44665</v>
      </c>
    </row>
    <row r="30" spans="1:1" x14ac:dyDescent="0.4">
      <c r="A30" s="3">
        <v>44666</v>
      </c>
    </row>
    <row r="31" spans="1:1" x14ac:dyDescent="0.4">
      <c r="A31" s="3">
        <v>44682</v>
      </c>
    </row>
    <row r="32" spans="1:1" x14ac:dyDescent="0.4">
      <c r="A32" s="3">
        <v>44699</v>
      </c>
    </row>
    <row r="33" spans="1:1" x14ac:dyDescent="0.4">
      <c r="A33" s="3">
        <v>44706</v>
      </c>
    </row>
    <row r="34" spans="1:1" x14ac:dyDescent="0.4">
      <c r="A34" s="3">
        <v>44729</v>
      </c>
    </row>
    <row r="35" spans="1:1" x14ac:dyDescent="0.4">
      <c r="A35" s="3">
        <v>44732</v>
      </c>
    </row>
    <row r="36" spans="1:1" x14ac:dyDescent="0.4">
      <c r="A36" s="3">
        <v>44751</v>
      </c>
    </row>
    <row r="37" spans="1:1" x14ac:dyDescent="0.4">
      <c r="A37" s="3">
        <v>44788</v>
      </c>
    </row>
    <row r="38" spans="1:1" x14ac:dyDescent="0.4">
      <c r="A38" s="3">
        <v>44841</v>
      </c>
    </row>
    <row r="39" spans="1:1" x14ac:dyDescent="0.4">
      <c r="A39" s="3">
        <v>44844</v>
      </c>
    </row>
    <row r="40" spans="1:1" x14ac:dyDescent="0.4">
      <c r="A40" s="3">
        <v>44885</v>
      </c>
    </row>
    <row r="41" spans="1:1" x14ac:dyDescent="0.4">
      <c r="A41" s="3">
        <v>44886</v>
      </c>
    </row>
    <row r="42" spans="1:1" x14ac:dyDescent="0.4">
      <c r="A42" s="3">
        <v>44903</v>
      </c>
    </row>
    <row r="43" spans="1:1" x14ac:dyDescent="0.4">
      <c r="A43" s="3">
        <v>44904</v>
      </c>
    </row>
    <row r="44" spans="1:1" x14ac:dyDescent="0.4">
      <c r="A44" s="3">
        <v>44919</v>
      </c>
    </row>
    <row r="45" spans="1:1" x14ac:dyDescent="0.4">
      <c r="A45" s="3">
        <v>44920</v>
      </c>
    </row>
    <row r="46" spans="1:1" x14ac:dyDescent="0.4">
      <c r="A46" s="3">
        <v>44926</v>
      </c>
    </row>
    <row r="47" spans="1:1" x14ac:dyDescent="0.4">
      <c r="A47" s="3">
        <v>44927</v>
      </c>
    </row>
    <row r="48" spans="1:1" x14ac:dyDescent="0.4">
      <c r="A48" s="3">
        <v>44977</v>
      </c>
    </row>
    <row r="49" spans="1:1" x14ac:dyDescent="0.4">
      <c r="A49" s="3">
        <v>44978</v>
      </c>
    </row>
    <row r="50" spans="1:1" x14ac:dyDescent="0.4">
      <c r="A50" s="3">
        <v>45009</v>
      </c>
    </row>
    <row r="51" spans="1:1" x14ac:dyDescent="0.4">
      <c r="A51" s="3">
        <v>45018</v>
      </c>
    </row>
    <row r="52" spans="1:1" x14ac:dyDescent="0.4">
      <c r="A52" s="3">
        <v>45022</v>
      </c>
    </row>
    <row r="53" spans="1:1" x14ac:dyDescent="0.4">
      <c r="A53" s="3">
        <v>45023</v>
      </c>
    </row>
    <row r="54" spans="1:1" x14ac:dyDescent="0.4">
      <c r="A54" s="3">
        <v>45047</v>
      </c>
    </row>
    <row r="55" spans="1:1" x14ac:dyDescent="0.4">
      <c r="A55" s="3">
        <v>45071</v>
      </c>
    </row>
    <row r="56" spans="1:1" x14ac:dyDescent="0.4">
      <c r="A56" s="3">
        <v>45072</v>
      </c>
    </row>
    <row r="57" spans="1:1" x14ac:dyDescent="0.4">
      <c r="A57" s="3">
        <v>45094</v>
      </c>
    </row>
    <row r="58" spans="1:1" x14ac:dyDescent="0.4">
      <c r="A58" s="3">
        <v>45096</v>
      </c>
    </row>
    <row r="59" spans="1:1" x14ac:dyDescent="0.4">
      <c r="A59" s="3">
        <v>45097</v>
      </c>
    </row>
    <row r="60" spans="1:1" x14ac:dyDescent="0.4">
      <c r="A60" s="3">
        <v>45116</v>
      </c>
    </row>
    <row r="61" spans="1:1" x14ac:dyDescent="0.4">
      <c r="A61" s="3">
        <v>45159</v>
      </c>
    </row>
    <row r="62" spans="1:1" x14ac:dyDescent="0.4">
      <c r="A62" s="3">
        <v>45212</v>
      </c>
    </row>
    <row r="63" spans="1:1" x14ac:dyDescent="0.4">
      <c r="A63" s="3">
        <v>45215</v>
      </c>
    </row>
    <row r="64" spans="1:1" x14ac:dyDescent="0.4">
      <c r="A64" s="3">
        <v>45250</v>
      </c>
    </row>
    <row r="65" spans="1:1" x14ac:dyDescent="0.4">
      <c r="A65" s="3">
        <v>45268</v>
      </c>
    </row>
    <row r="66" spans="1:1" x14ac:dyDescent="0.4">
      <c r="A66" s="3">
        <v>45285</v>
      </c>
    </row>
    <row r="67" spans="1:1" x14ac:dyDescent="0.4">
      <c r="A67" s="3">
        <v>45292</v>
      </c>
    </row>
    <row r="68" spans="1:1" x14ac:dyDescent="0.4">
      <c r="A68" s="3">
        <v>45334</v>
      </c>
    </row>
    <row r="69" spans="1:1" x14ac:dyDescent="0.4">
      <c r="A69" s="3">
        <v>45335</v>
      </c>
    </row>
    <row r="70" spans="1:1" x14ac:dyDescent="0.4">
      <c r="A70" s="3">
        <v>45375</v>
      </c>
    </row>
    <row r="71" spans="1:1" x14ac:dyDescent="0.4">
      <c r="A71" s="3">
        <v>45379</v>
      </c>
    </row>
    <row r="72" spans="1:1" x14ac:dyDescent="0.4">
      <c r="A72" s="3">
        <v>45380</v>
      </c>
    </row>
    <row r="73" spans="1:1" x14ac:dyDescent="0.4">
      <c r="A73" s="3">
        <v>45383</v>
      </c>
    </row>
    <row r="74" spans="1:1" x14ac:dyDescent="0.4">
      <c r="A74" s="3">
        <v>45384</v>
      </c>
    </row>
    <row r="75" spans="1:1" x14ac:dyDescent="0.4">
      <c r="A75" s="3">
        <v>45413</v>
      </c>
    </row>
    <row r="76" spans="1:1" x14ac:dyDescent="0.4">
      <c r="A76" s="3">
        <v>45437</v>
      </c>
    </row>
    <row r="77" spans="1:1" x14ac:dyDescent="0.4">
      <c r="A77" s="3">
        <v>45460</v>
      </c>
    </row>
    <row r="78" spans="1:1" x14ac:dyDescent="0.4">
      <c r="A78" s="3">
        <v>45463</v>
      </c>
    </row>
    <row r="79" spans="1:1" x14ac:dyDescent="0.4">
      <c r="A79" s="3">
        <v>45464</v>
      </c>
    </row>
    <row r="80" spans="1:1" x14ac:dyDescent="0.4">
      <c r="A80" s="3">
        <v>45482</v>
      </c>
    </row>
    <row r="81" spans="1:1" x14ac:dyDescent="0.4">
      <c r="A81" s="3">
        <v>45521</v>
      </c>
    </row>
    <row r="82" spans="1:1" x14ac:dyDescent="0.4">
      <c r="A82" s="3">
        <v>45576</v>
      </c>
    </row>
    <row r="83" spans="1:1" x14ac:dyDescent="0.4">
      <c r="A83" s="3">
        <v>45577</v>
      </c>
    </row>
    <row r="84" spans="1:1" x14ac:dyDescent="0.4">
      <c r="A84" s="3">
        <v>45614</v>
      </c>
    </row>
    <row r="85" spans="1:1" x14ac:dyDescent="0.4">
      <c r="A85" s="3">
        <v>45634</v>
      </c>
    </row>
    <row r="86" spans="1:1" x14ac:dyDescent="0.4">
      <c r="A86" s="3">
        <v>45650</v>
      </c>
    </row>
    <row r="87" spans="1:1" x14ac:dyDescent="0.4">
      <c r="A87" s="3">
        <v>45651</v>
      </c>
    </row>
    <row r="88" spans="1:1" x14ac:dyDescent="0.4">
      <c r="A88" s="3">
        <v>45657</v>
      </c>
    </row>
    <row r="89" spans="1:1" x14ac:dyDescent="0.4">
      <c r="A89" s="3">
        <v>45658</v>
      </c>
    </row>
    <row r="90" spans="1:1" x14ac:dyDescent="0.4">
      <c r="A90" s="3">
        <v>45719</v>
      </c>
    </row>
    <row r="91" spans="1:1" x14ac:dyDescent="0.4">
      <c r="A91" s="3">
        <v>45720</v>
      </c>
    </row>
    <row r="92" spans="1:1" x14ac:dyDescent="0.4">
      <c r="A92" s="3">
        <v>45740</v>
      </c>
    </row>
    <row r="93" spans="1:1" x14ac:dyDescent="0.4">
      <c r="A93" s="3">
        <v>45749</v>
      </c>
    </row>
    <row r="94" spans="1:1" x14ac:dyDescent="0.4">
      <c r="A94" s="3">
        <v>45764</v>
      </c>
    </row>
    <row r="95" spans="1:1" x14ac:dyDescent="0.4">
      <c r="A95" s="3">
        <v>45765</v>
      </c>
    </row>
    <row r="96" spans="1:1" x14ac:dyDescent="0.4">
      <c r="A96" s="3">
        <v>45778</v>
      </c>
    </row>
    <row r="97" spans="1:1" x14ac:dyDescent="0.4">
      <c r="A97" s="3">
        <v>45779</v>
      </c>
    </row>
    <row r="98" spans="1:1" x14ac:dyDescent="0.4">
      <c r="A98" s="3">
        <v>45802</v>
      </c>
    </row>
    <row r="99" spans="1:1" x14ac:dyDescent="0.4">
      <c r="A99" s="3">
        <v>45824</v>
      </c>
    </row>
    <row r="100" spans="1:1" x14ac:dyDescent="0.4">
      <c r="A100" s="3">
        <v>45828</v>
      </c>
    </row>
    <row r="101" spans="1:1" x14ac:dyDescent="0.4">
      <c r="A101" s="3">
        <v>45847</v>
      </c>
    </row>
    <row r="102" spans="1:1" x14ac:dyDescent="0.4">
      <c r="A102" s="3">
        <v>45884</v>
      </c>
    </row>
    <row r="103" spans="1:1" x14ac:dyDescent="0.4">
      <c r="A103" s="3">
        <v>45886</v>
      </c>
    </row>
    <row r="104" spans="1:1" x14ac:dyDescent="0.4">
      <c r="A104" s="3">
        <v>45942</v>
      </c>
    </row>
    <row r="105" spans="1:1" x14ac:dyDescent="0.4">
      <c r="A105" s="3">
        <v>45982</v>
      </c>
    </row>
    <row r="106" spans="1:1" x14ac:dyDescent="0.4">
      <c r="A106" s="3">
        <v>45985</v>
      </c>
    </row>
    <row r="107" spans="1:1" x14ac:dyDescent="0.4">
      <c r="A107" s="3">
        <v>45999</v>
      </c>
    </row>
    <row r="108" spans="1:1" x14ac:dyDescent="0.4">
      <c r="A108" s="3">
        <v>46016</v>
      </c>
    </row>
    <row r="109" spans="1:1" x14ac:dyDescent="0.4">
      <c r="A109" s="3">
        <v>46023</v>
      </c>
    </row>
    <row r="110" spans="1:1" x14ac:dyDescent="0.4">
      <c r="A110" s="3">
        <v>46069</v>
      </c>
    </row>
    <row r="111" spans="1:1" x14ac:dyDescent="0.4">
      <c r="A111" s="3">
        <v>46070</v>
      </c>
    </row>
    <row r="112" spans="1:1" x14ac:dyDescent="0.4">
      <c r="A112" s="3">
        <v>46104</v>
      </c>
    </row>
    <row r="113" spans="1:1" x14ac:dyDescent="0.4">
      <c r="A113" s="3">
        <v>46105</v>
      </c>
    </row>
    <row r="114" spans="1:1" x14ac:dyDescent="0.4">
      <c r="A114" s="3">
        <v>46114</v>
      </c>
    </row>
    <row r="115" spans="1:1" x14ac:dyDescent="0.4">
      <c r="A115" s="3">
        <v>46115</v>
      </c>
    </row>
    <row r="116" spans="1:1" x14ac:dyDescent="0.4">
      <c r="A116" s="3">
        <v>46143</v>
      </c>
    </row>
    <row r="117" spans="1:1" x14ac:dyDescent="0.4">
      <c r="A117" s="3">
        <v>46167</v>
      </c>
    </row>
    <row r="118" spans="1:1" x14ac:dyDescent="0.4">
      <c r="A118" s="3">
        <v>46188</v>
      </c>
    </row>
    <row r="119" spans="1:1" x14ac:dyDescent="0.4">
      <c r="A119" s="3">
        <v>46193</v>
      </c>
    </row>
    <row r="120" spans="1:1" x14ac:dyDescent="0.4">
      <c r="A120" s="3">
        <v>46212</v>
      </c>
    </row>
    <row r="121" spans="1:1" x14ac:dyDescent="0.4">
      <c r="A121" s="3">
        <v>46213</v>
      </c>
    </row>
    <row r="122" spans="1:1" x14ac:dyDescent="0.4">
      <c r="A122" s="3">
        <v>46251</v>
      </c>
    </row>
    <row r="123" spans="1:1" x14ac:dyDescent="0.4">
      <c r="A123" s="3">
        <v>46307</v>
      </c>
    </row>
    <row r="124" spans="1:1" x14ac:dyDescent="0.4">
      <c r="A124" s="3">
        <v>46349</v>
      </c>
    </row>
    <row r="125" spans="1:1" x14ac:dyDescent="0.4">
      <c r="A125" s="3">
        <v>46363</v>
      </c>
    </row>
    <row r="126" spans="1:1" x14ac:dyDescent="0.4">
      <c r="A126" s="3">
        <v>46364</v>
      </c>
    </row>
    <row r="127" spans="1:1" x14ac:dyDescent="0.4">
      <c r="A127" s="3">
        <v>46381</v>
      </c>
    </row>
    <row r="128" spans="1:1" x14ac:dyDescent="0.4">
      <c r="A128" s="4">
        <v>46577</v>
      </c>
    </row>
    <row r="129" spans="1:1" x14ac:dyDescent="0.4">
      <c r="A129" s="4">
        <v>46943</v>
      </c>
    </row>
    <row r="130" spans="1:1" x14ac:dyDescent="0.4">
      <c r="A130" s="4">
        <v>47308</v>
      </c>
    </row>
    <row r="131" spans="1:1" x14ac:dyDescent="0.4">
      <c r="A131" s="4">
        <v>47673</v>
      </c>
    </row>
    <row r="132" spans="1:1" x14ac:dyDescent="0.4">
      <c r="A132" s="4">
        <v>48038</v>
      </c>
    </row>
    <row r="133" spans="1:1" x14ac:dyDescent="0.4">
      <c r="A133" s="4">
        <v>48404</v>
      </c>
    </row>
    <row r="134" spans="1:1" x14ac:dyDescent="0.4">
      <c r="A134" s="4">
        <v>48769</v>
      </c>
    </row>
    <row r="135" spans="1:1" x14ac:dyDescent="0.4">
      <c r="A135" s="4">
        <v>49134</v>
      </c>
    </row>
    <row r="136" spans="1:1" x14ac:dyDescent="0.4">
      <c r="A136" s="4">
        <v>49499</v>
      </c>
    </row>
    <row r="137" spans="1:1" x14ac:dyDescent="0.4">
      <c r="A137" s="4">
        <v>49865</v>
      </c>
    </row>
    <row r="138" spans="1:1" x14ac:dyDescent="0.4">
      <c r="A138" s="4">
        <v>50230</v>
      </c>
    </row>
    <row r="139" spans="1:1" x14ac:dyDescent="0.4">
      <c r="A139" s="4">
        <v>50595</v>
      </c>
    </row>
    <row r="140" spans="1:1" x14ac:dyDescent="0.4">
      <c r="A140" s="4">
        <v>50960</v>
      </c>
    </row>
    <row r="141" spans="1:1" x14ac:dyDescent="0.4">
      <c r="A141" s="4">
        <v>51326</v>
      </c>
    </row>
    <row r="142" spans="1:1" x14ac:dyDescent="0.4">
      <c r="A142" s="4">
        <v>51691</v>
      </c>
    </row>
    <row r="143" spans="1:1" x14ac:dyDescent="0.4">
      <c r="A143" s="4">
        <v>52056</v>
      </c>
    </row>
    <row r="144" spans="1:1" x14ac:dyDescent="0.4">
      <c r="A144" s="4">
        <v>52421</v>
      </c>
    </row>
    <row r="145" spans="1:1" x14ac:dyDescent="0.4">
      <c r="A145" s="4">
        <v>52787</v>
      </c>
    </row>
    <row r="146" spans="1:1" x14ac:dyDescent="0.4">
      <c r="A146" s="4">
        <v>53152</v>
      </c>
    </row>
    <row r="147" spans="1:1" x14ac:dyDescent="0.4">
      <c r="A147" s="4">
        <v>53517</v>
      </c>
    </row>
    <row r="148" spans="1:1" x14ac:dyDescent="0.4">
      <c r="A148" s="4">
        <v>46143</v>
      </c>
    </row>
    <row r="149" spans="1:1" x14ac:dyDescent="0.4">
      <c r="A149" s="4">
        <v>46508</v>
      </c>
    </row>
    <row r="150" spans="1:1" x14ac:dyDescent="0.4">
      <c r="A150" s="4">
        <v>46874</v>
      </c>
    </row>
    <row r="151" spans="1:1" x14ac:dyDescent="0.4">
      <c r="A151" s="4">
        <v>47239</v>
      </c>
    </row>
    <row r="152" spans="1:1" x14ac:dyDescent="0.4">
      <c r="A152" s="4">
        <v>47604</v>
      </c>
    </row>
    <row r="153" spans="1:1" x14ac:dyDescent="0.4">
      <c r="A153" s="4">
        <v>47969</v>
      </c>
    </row>
    <row r="154" spans="1:1" x14ac:dyDescent="0.4">
      <c r="A154" s="4">
        <v>48335</v>
      </c>
    </row>
    <row r="155" spans="1:1" x14ac:dyDescent="0.4">
      <c r="A155" s="4">
        <v>48700</v>
      </c>
    </row>
    <row r="156" spans="1:1" x14ac:dyDescent="0.4">
      <c r="A156" s="4">
        <v>49065</v>
      </c>
    </row>
    <row r="157" spans="1:1" x14ac:dyDescent="0.4">
      <c r="A157" s="4">
        <v>49430</v>
      </c>
    </row>
    <row r="158" spans="1:1" x14ac:dyDescent="0.4">
      <c r="A158" s="4">
        <v>49796</v>
      </c>
    </row>
    <row r="159" spans="1:1" x14ac:dyDescent="0.4">
      <c r="A159" s="4">
        <v>50161</v>
      </c>
    </row>
    <row r="160" spans="1:1" x14ac:dyDescent="0.4">
      <c r="A160" s="4">
        <v>50526</v>
      </c>
    </row>
    <row r="161" spans="1:1" x14ac:dyDescent="0.4">
      <c r="A161" s="4">
        <v>50891</v>
      </c>
    </row>
    <row r="162" spans="1:1" x14ac:dyDescent="0.4">
      <c r="A162" s="4">
        <v>51257</v>
      </c>
    </row>
    <row r="163" spans="1:1" x14ac:dyDescent="0.4">
      <c r="A163" s="4">
        <v>51622</v>
      </c>
    </row>
    <row r="164" spans="1:1" x14ac:dyDescent="0.4">
      <c r="A164" s="4">
        <v>51987</v>
      </c>
    </row>
    <row r="165" spans="1:1" x14ac:dyDescent="0.4">
      <c r="A165" s="4">
        <v>52352</v>
      </c>
    </row>
    <row r="166" spans="1:1" x14ac:dyDescent="0.4">
      <c r="A166" s="4">
        <v>52718</v>
      </c>
    </row>
    <row r="167" spans="1:1" x14ac:dyDescent="0.4">
      <c r="A167" s="4">
        <v>53083</v>
      </c>
    </row>
    <row r="168" spans="1:1" x14ac:dyDescent="0.4">
      <c r="A168" s="4">
        <v>53448</v>
      </c>
    </row>
    <row r="169" spans="1:1" x14ac:dyDescent="0.4">
      <c r="A169" s="4">
        <v>46114</v>
      </c>
    </row>
    <row r="170" spans="1:1" x14ac:dyDescent="0.4">
      <c r="A170" s="4">
        <v>46479</v>
      </c>
    </row>
    <row r="171" spans="1:1" x14ac:dyDescent="0.4">
      <c r="A171" s="4">
        <v>46845</v>
      </c>
    </row>
    <row r="172" spans="1:1" x14ac:dyDescent="0.4">
      <c r="A172" s="4">
        <v>47210</v>
      </c>
    </row>
    <row r="173" spans="1:1" x14ac:dyDescent="0.4">
      <c r="A173" s="4">
        <v>47575</v>
      </c>
    </row>
    <row r="174" spans="1:1" x14ac:dyDescent="0.4">
      <c r="A174" s="4">
        <v>47940</v>
      </c>
    </row>
    <row r="175" spans="1:1" x14ac:dyDescent="0.4">
      <c r="A175" s="4">
        <v>48306</v>
      </c>
    </row>
    <row r="176" spans="1:1" x14ac:dyDescent="0.4">
      <c r="A176" s="4">
        <v>48671</v>
      </c>
    </row>
    <row r="177" spans="1:1" x14ac:dyDescent="0.4">
      <c r="A177" s="4">
        <v>49036</v>
      </c>
    </row>
    <row r="178" spans="1:1" x14ac:dyDescent="0.4">
      <c r="A178" s="4">
        <v>49401</v>
      </c>
    </row>
    <row r="179" spans="1:1" x14ac:dyDescent="0.4">
      <c r="A179" s="4">
        <v>49767</v>
      </c>
    </row>
    <row r="180" spans="1:1" x14ac:dyDescent="0.4">
      <c r="A180" s="4">
        <v>50132</v>
      </c>
    </row>
    <row r="181" spans="1:1" x14ac:dyDescent="0.4">
      <c r="A181" s="4">
        <v>50497</v>
      </c>
    </row>
    <row r="182" spans="1:1" x14ac:dyDescent="0.4">
      <c r="A182" s="4">
        <v>50862</v>
      </c>
    </row>
    <row r="183" spans="1:1" x14ac:dyDescent="0.4">
      <c r="A183" s="4">
        <v>51228</v>
      </c>
    </row>
    <row r="184" spans="1:1" x14ac:dyDescent="0.4">
      <c r="A184" s="4">
        <v>51593</v>
      </c>
    </row>
    <row r="185" spans="1:1" x14ac:dyDescent="0.4">
      <c r="A185" s="4">
        <v>51958</v>
      </c>
    </row>
    <row r="186" spans="1:1" x14ac:dyDescent="0.4">
      <c r="A186" s="4">
        <v>52323</v>
      </c>
    </row>
    <row r="187" spans="1:1" x14ac:dyDescent="0.4">
      <c r="A187" s="4">
        <v>52689</v>
      </c>
    </row>
    <row r="188" spans="1:1" x14ac:dyDescent="0.4">
      <c r="A188" s="4">
        <v>53054</v>
      </c>
    </row>
    <row r="189" spans="1:1" x14ac:dyDescent="0.4">
      <c r="A189" s="4">
        <v>53419</v>
      </c>
    </row>
    <row r="190" spans="1:1" x14ac:dyDescent="0.4">
      <c r="A190" s="4">
        <v>46198</v>
      </c>
    </row>
    <row r="191" spans="1:1" x14ac:dyDescent="0.4">
      <c r="A191" s="4">
        <v>46563</v>
      </c>
    </row>
    <row r="192" spans="1:1" x14ac:dyDescent="0.4">
      <c r="A192" s="4">
        <v>46929</v>
      </c>
    </row>
    <row r="193" spans="1:1" x14ac:dyDescent="0.4">
      <c r="A193" s="4">
        <v>47294</v>
      </c>
    </row>
    <row r="194" spans="1:1" x14ac:dyDescent="0.4">
      <c r="A194" s="4">
        <v>47659</v>
      </c>
    </row>
    <row r="195" spans="1:1" x14ac:dyDescent="0.4">
      <c r="A195" s="4">
        <v>48024</v>
      </c>
    </row>
    <row r="196" spans="1:1" x14ac:dyDescent="0.4">
      <c r="A196" s="4">
        <v>48390</v>
      </c>
    </row>
    <row r="197" spans="1:1" x14ac:dyDescent="0.4">
      <c r="A197" s="4">
        <v>48755</v>
      </c>
    </row>
    <row r="198" spans="1:1" x14ac:dyDescent="0.4">
      <c r="A198" s="4">
        <v>49120</v>
      </c>
    </row>
    <row r="199" spans="1:1" x14ac:dyDescent="0.4">
      <c r="A199" s="4">
        <v>49485</v>
      </c>
    </row>
    <row r="200" spans="1:1" x14ac:dyDescent="0.4">
      <c r="A200" s="4">
        <v>49851</v>
      </c>
    </row>
    <row r="201" spans="1:1" x14ac:dyDescent="0.4">
      <c r="A201" s="4">
        <v>50216</v>
      </c>
    </row>
    <row r="202" spans="1:1" x14ac:dyDescent="0.4">
      <c r="A202" s="4">
        <v>50581</v>
      </c>
    </row>
    <row r="203" spans="1:1" x14ac:dyDescent="0.4">
      <c r="A203" s="4">
        <v>50946</v>
      </c>
    </row>
    <row r="204" spans="1:1" x14ac:dyDescent="0.4">
      <c r="A204" s="4">
        <v>51312</v>
      </c>
    </row>
    <row r="205" spans="1:1" x14ac:dyDescent="0.4">
      <c r="A205" s="4">
        <v>51677</v>
      </c>
    </row>
    <row r="206" spans="1:1" x14ac:dyDescent="0.4">
      <c r="A206" s="4">
        <v>52042</v>
      </c>
    </row>
    <row r="207" spans="1:1" x14ac:dyDescent="0.4">
      <c r="A207" s="4">
        <v>52407</v>
      </c>
    </row>
    <row r="208" spans="1:1" x14ac:dyDescent="0.4">
      <c r="A208" s="4">
        <v>52773</v>
      </c>
    </row>
    <row r="209" spans="1:1" x14ac:dyDescent="0.4">
      <c r="A209" s="4">
        <v>53138</v>
      </c>
    </row>
    <row r="210" spans="1:1" x14ac:dyDescent="0.4">
      <c r="A210" s="4">
        <v>53503</v>
      </c>
    </row>
    <row r="211" spans="1:1" x14ac:dyDescent="0.4">
      <c r="A211" s="4">
        <v>46023</v>
      </c>
    </row>
    <row r="212" spans="1:1" x14ac:dyDescent="0.4">
      <c r="A212" s="4">
        <v>46388</v>
      </c>
    </row>
    <row r="213" spans="1:1" x14ac:dyDescent="0.4">
      <c r="A213" s="4">
        <v>46753</v>
      </c>
    </row>
    <row r="214" spans="1:1" x14ac:dyDescent="0.4">
      <c r="A214" s="4">
        <v>47119</v>
      </c>
    </row>
    <row r="215" spans="1:1" x14ac:dyDescent="0.4">
      <c r="A215" s="4">
        <v>47484</v>
      </c>
    </row>
    <row r="216" spans="1:1" x14ac:dyDescent="0.4">
      <c r="A216" s="4">
        <v>47849</v>
      </c>
    </row>
    <row r="217" spans="1:1" x14ac:dyDescent="0.4">
      <c r="A217" s="4">
        <v>48214</v>
      </c>
    </row>
    <row r="218" spans="1:1" x14ac:dyDescent="0.4">
      <c r="A218" s="4">
        <v>48580</v>
      </c>
    </row>
    <row r="219" spans="1:1" x14ac:dyDescent="0.4">
      <c r="A219" s="4">
        <v>48945</v>
      </c>
    </row>
    <row r="220" spans="1:1" x14ac:dyDescent="0.4">
      <c r="A220" s="4">
        <v>49310</v>
      </c>
    </row>
    <row r="221" spans="1:1" x14ac:dyDescent="0.4">
      <c r="A221" s="4">
        <v>49675</v>
      </c>
    </row>
    <row r="222" spans="1:1" x14ac:dyDescent="0.4">
      <c r="A222" s="4">
        <v>50041</v>
      </c>
    </row>
    <row r="223" spans="1:1" x14ac:dyDescent="0.4">
      <c r="A223" s="4">
        <v>50406</v>
      </c>
    </row>
    <row r="224" spans="1:1" x14ac:dyDescent="0.4">
      <c r="A224" s="4">
        <v>50771</v>
      </c>
    </row>
    <row r="225" spans="1:1" x14ac:dyDescent="0.4">
      <c r="A225" s="4">
        <v>51136</v>
      </c>
    </row>
    <row r="226" spans="1:1" x14ac:dyDescent="0.4">
      <c r="A226" s="4">
        <v>51502</v>
      </c>
    </row>
    <row r="227" spans="1:1" x14ac:dyDescent="0.4">
      <c r="A227" s="4">
        <v>51867</v>
      </c>
    </row>
    <row r="228" spans="1:1" x14ac:dyDescent="0.4">
      <c r="A228" s="4">
        <v>52232</v>
      </c>
    </row>
    <row r="229" spans="1:1" x14ac:dyDescent="0.4">
      <c r="A229" s="4">
        <v>52597</v>
      </c>
    </row>
    <row r="230" spans="1:1" x14ac:dyDescent="0.4">
      <c r="A230" s="4">
        <v>52963</v>
      </c>
    </row>
    <row r="231" spans="1:1" x14ac:dyDescent="0.4">
      <c r="A231" s="4">
        <v>53328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F6B492-99E0-43F2-8F7B-5ADFA4E2F8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Gráficos</vt:lpstr>
      </vt:variant>
      <vt:variant>
        <vt:i4>5</vt:i4>
      </vt:variant>
    </vt:vector>
  </HeadingPairs>
  <TitlesOfParts>
    <vt:vector size="13" baseType="lpstr">
      <vt:lpstr>Sheet1 (2)</vt:lpstr>
      <vt:lpstr>Sheet1</vt:lpstr>
      <vt:lpstr>&lt;&lt;NO TOCAR</vt:lpstr>
      <vt:lpstr>Inflación BE</vt:lpstr>
      <vt:lpstr>Serie infla anual</vt:lpstr>
      <vt:lpstr>BE Hoy</vt:lpstr>
      <vt:lpstr>Implícitas anualizadas</vt:lpstr>
      <vt:lpstr>Feriados</vt:lpstr>
      <vt:lpstr>Gráfico BE</vt:lpstr>
      <vt:lpstr>Gráfico nowcast inflación </vt:lpstr>
      <vt:lpstr>Gráfico1</vt:lpstr>
      <vt:lpstr>Gráfico implícitas</vt:lpstr>
      <vt:lpstr>Gráfico2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Honorio Zabaleta</dc:creator>
  <cp:lastModifiedBy>Honorio Zabaleta</cp:lastModifiedBy>
  <dcterms:created xsi:type="dcterms:W3CDTF">2015-06-05T18:17:20Z</dcterms:created>
  <dcterms:modified xsi:type="dcterms:W3CDTF">2026-03-18T20:34:33Z</dcterms:modified>
</cp:coreProperties>
</file>