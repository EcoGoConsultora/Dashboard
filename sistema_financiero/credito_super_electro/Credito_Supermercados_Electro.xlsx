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sumen electro y conjunto" sheetId="2" state="visible" r:id="rId2"/>
    <sheet xmlns:r="http://schemas.openxmlformats.org/officeDocument/2006/relationships" name="Super + Electro" sheetId="3" state="visible" r:id="rId3"/>
    <sheet xmlns:r="http://schemas.openxmlformats.org/officeDocument/2006/relationships" name="Crédito mensual" sheetId="4" state="visible" r:id="rId4"/>
    <sheet xmlns:r="http://schemas.openxmlformats.org/officeDocument/2006/relationships" name="Mora mensual" sheetId="5" state="visible" r:id="rId5"/>
    <sheet xmlns:r="http://schemas.openxmlformats.org/officeDocument/2006/relationships" name="Electro crédito" sheetId="6" state="visible" r:id="rId6"/>
    <sheet xmlns:r="http://schemas.openxmlformats.org/officeDocument/2006/relationships" name="Electro mora" sheetId="7" state="visible" r:id="rId7"/>
    <sheet xmlns:r="http://schemas.openxmlformats.org/officeDocument/2006/relationships" name="Serie larga IEF" sheetId="8" state="visible" r:id="rId8"/>
    <sheet xmlns:r="http://schemas.openxmlformats.org/officeDocument/2006/relationships" name="Mora IEF" sheetId="9" state="visible" r:id="rId9"/>
    <sheet xmlns:r="http://schemas.openxmlformats.org/officeDocument/2006/relationships" name="Control componentes" sheetId="10" state="visible" r:id="rId10"/>
    <sheet xmlns:r="http://schemas.openxmlformats.org/officeDocument/2006/relationships" name="Metodologí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HK Grotesk"/>
      <b val="1"/>
      <color rgb="003C9794"/>
      <sz val="14"/>
    </font>
    <font>
      <name val="HK Grotesk"/>
      <i val="1"/>
      <color rgb="00333333"/>
      <sz val="10"/>
    </font>
    <font>
      <name val="HK Grotesk"/>
      <b val="1"/>
      <color rgb="00FFFFFF"/>
      <sz val="9"/>
    </font>
    <font>
      <name val="HK Grotesk"/>
      <color rgb="00333333"/>
      <sz val="10"/>
    </font>
    <font>
      <name val="HK Grotesk"/>
      <b val="1"/>
      <color rgb="00333333"/>
      <sz val="10"/>
    </font>
    <font>
      <name val="HK Grotesk"/>
      <b val="1"/>
      <color rgb="001B5F5E"/>
      <sz val="10"/>
    </font>
    <font>
      <name val="HK Grotesk"/>
      <i val="1"/>
      <color rgb="00333333"/>
      <sz val="9"/>
    </font>
    <font>
      <name val="HK Grotesk"/>
      <i val="1"/>
      <color rgb="003C9794"/>
      <sz val="9"/>
    </font>
    <font>
      <name val="HK Grotesk"/>
      <b val="1"/>
      <color rgb="003C9794"/>
      <sz val="10"/>
    </font>
  </fonts>
  <fills count="5">
    <fill>
      <patternFill/>
    </fill>
    <fill>
      <patternFill patternType="gray125"/>
    </fill>
    <fill>
      <patternFill patternType="solid">
        <fgColor rgb="001B5F5E"/>
      </patternFill>
    </fill>
    <fill>
      <patternFill patternType="solid">
        <fgColor rgb="00DDEFEE"/>
      </patternFill>
    </fill>
    <fill>
      <patternFill patternType="solid">
        <fgColor rgb="00F1F1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en pesos constantes de sep-26 y mora conjunta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'Super + Electro'!B4</f>
            </strRef>
          </tx>
          <spPr>
            <a:solidFill xmlns:a="http://schemas.openxmlformats.org/drawingml/2006/main">
              <a:srgbClr val="8FCCCA"/>
            </a:solidFill>
            <a:ln xmlns:a="http://schemas.openxmlformats.org/drawingml/2006/main">
              <a:noFill/>
              <a:prstDash val="solid"/>
            </a:ln>
          </spPr>
          <cat>
            <numRef>
              <f>'Super + Electro'!$A$5:$A$51</f>
            </numRef>
          </cat>
          <val>
            <numRef>
              <f>'Super + Electro'!$B$5:$B$51</f>
            </numRef>
          </val>
        </ser>
        <ser>
          <idx val="1"/>
          <order val="1"/>
          <tx>
            <strRef>
              <f>'Super + Electro'!C4</f>
            </strRef>
          </tx>
          <spPr>
            <a:solidFill xmlns:a="http://schemas.openxmlformats.org/drawingml/2006/main">
              <a:srgbClr val="1B5F5E"/>
            </a:solidFill>
            <a:ln xmlns:a="http://schemas.openxmlformats.org/drawingml/2006/main">
              <a:noFill/>
              <a:prstDash val="solid"/>
            </a:ln>
          </spPr>
          <cat>
            <numRef>
              <f>'Super + Electro'!$A$5:$A$51</f>
            </numRef>
          </cat>
          <val>
            <numRef>
              <f>'Super + Electro'!$C$5:$C$51</f>
            </numRef>
          </val>
        </ser>
        <gapWidth val="40"/>
        <overlap val="100"/>
        <axId val="10"/>
        <axId val="100"/>
      </barChart>
      <lineChart>
        <grouping val="standard"/>
        <ser>
          <idx val="2"/>
          <order val="2"/>
          <tx>
            <strRef>
              <f>'Super + Electro'!G4</f>
            </strRef>
          </tx>
          <spPr>
            <a:ln xmlns:a="http://schemas.openxmlformats.org/drawingml/2006/main" w="28000">
              <a:solidFill>
                <a:srgbClr val="DA45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'Super + Electro'!$G$5:$G$51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millones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Mora (%)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Mora (sit. 3+4+5): supermercados, electrodomésticos y conjunta</a:t>
            </a:r>
          </a:p>
        </rich>
      </tx>
    </title>
    <plotArea>
      <lineChart>
        <grouping val="standard"/>
        <ser>
          <idx val="0"/>
          <order val="0"/>
          <tx>
            <strRef>
              <f>'Super + Electro'!E4</f>
            </strRef>
          </tx>
          <spPr>
            <a:ln xmlns:a="http://schemas.openxmlformats.org/drawingml/2006/main" w="22000">
              <a:solidFill>
                <a:srgbClr val="3C9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'Super + Electro'!$A$5:$A$51</f>
            </numRef>
          </cat>
          <val>
            <numRef>
              <f>'Super + Electro'!$E$5:$E$51</f>
            </numRef>
          </val>
          <smooth val="0"/>
        </ser>
        <ser>
          <idx val="1"/>
          <order val="1"/>
          <tx>
            <strRef>
              <f>'Super + Electro'!F4</f>
            </strRef>
          </tx>
          <spPr>
            <a:ln xmlns:a="http://schemas.openxmlformats.org/drawingml/2006/main" w="22000">
              <a:solidFill>
                <a:srgbClr val="FEB1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'Super + Electro'!$A$5:$A$51</f>
            </numRef>
          </cat>
          <val>
            <numRef>
              <f>'Super + Electro'!$F$5:$F$51</f>
            </numRef>
          </val>
          <smooth val="0"/>
        </ser>
        <ser>
          <idx val="2"/>
          <order val="2"/>
          <tx>
            <strRef>
              <f>'Super + Electro'!G4</f>
            </strRef>
          </tx>
          <spPr>
            <a:ln xmlns:a="http://schemas.openxmlformats.org/drawingml/2006/main" w="22000">
              <a:solidFill>
                <a:srgbClr val="DA45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'Super + Electro'!$A$5:$A$51</f>
            </numRef>
          </cat>
          <val>
            <numRef>
              <f>'Super + Electro'!$G$5:$G$51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Mora temprana (sit. 2): cadenas de supermercados y de electrodomésticos</a:t>
            </a:r>
          </a:p>
        </rich>
      </tx>
    </title>
    <plotArea>
      <lineChart>
        <grouping val="standard"/>
        <ser>
          <idx val="0"/>
          <order val="0"/>
          <tx>
            <strRef>
              <f>'Super + Electro'!H4</f>
            </strRef>
          </tx>
          <spPr>
            <a:ln xmlns:a="http://schemas.openxmlformats.org/drawingml/2006/main" w="22000">
              <a:solidFill>
                <a:srgbClr val="3C979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3C9794"/>
              </a:solidFill>
              <a:ln xmlns:a="http://schemas.openxmlformats.org/drawingml/2006/main">
                <a:solidFill>
                  <a:srgbClr val="3C9794"/>
                </a:solidFill>
                <a:prstDash val="solid"/>
              </a:ln>
            </spPr>
          </marker>
          <cat>
            <numRef>
              <f>'Super + Electro'!$A$5:$A$51</f>
            </numRef>
          </cat>
          <val>
            <numRef>
              <f>'Super + Electro'!$H$5:$H$51</f>
            </numRef>
          </val>
          <smooth val="0"/>
        </ser>
        <ser>
          <idx val="1"/>
          <order val="1"/>
          <tx>
            <strRef>
              <f>'Super + Electro'!I4</f>
            </strRef>
          </tx>
          <spPr>
            <a:ln xmlns:a="http://schemas.openxmlformats.org/drawingml/2006/main" w="22000">
              <a:solidFill>
                <a:srgbClr val="FEB15F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EB15F"/>
              </a:solidFill>
              <a:ln xmlns:a="http://schemas.openxmlformats.org/drawingml/2006/main">
                <a:solidFill>
                  <a:srgbClr val="FEB15F"/>
                </a:solidFill>
                <a:prstDash val="solid"/>
              </a:ln>
            </spPr>
          </marker>
          <cat>
            <numRef>
              <f>'Super + Electro'!$A$5:$A$51</f>
            </numRef>
          </cat>
          <val>
            <numRef>
              <f>'Super + Electro'!$I$5:$I$51</f>
            </numRef>
          </val>
          <smooth val="0"/>
        </ser>
        <ser>
          <idx val="2"/>
          <order val="2"/>
          <tx>
            <strRef>
              <f>'Super + Electro'!J4</f>
            </strRef>
          </tx>
          <spPr>
            <a:ln xmlns:a="http://schemas.openxmlformats.org/drawingml/2006/main" w="22000">
              <a:solidFill>
                <a:srgbClr val="DA4531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DA4531"/>
              </a:solidFill>
              <a:ln xmlns:a="http://schemas.openxmlformats.org/drawingml/2006/main">
                <a:solidFill>
                  <a:srgbClr val="DA4531"/>
                </a:solidFill>
                <a:prstDash val="solid"/>
              </a:ln>
            </spPr>
          </marker>
          <cat>
            <numRef>
              <f>'Super + Electro'!$A$5:$A$51</f>
            </numRef>
          </cat>
          <val>
            <numRef>
              <f>'Super + Electro'!$J$5:$J$51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en pesos constantes de sep-26 ($ millones)</a:t>
            </a:r>
          </a:p>
        </rich>
      </tx>
    </title>
    <plotArea>
      <lineChart>
        <grouping val="standard"/>
        <ser>
          <idx val="0"/>
          <order val="0"/>
          <tx>
            <strRef>
              <f>'Crédito mensual'!G4</f>
            </strRef>
          </tx>
          <spPr>
            <a:ln xmlns:a="http://schemas.openxmlformats.org/drawingml/2006/main" w="22000">
              <a:solidFill>
                <a:srgbClr val="3C9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'Crédito mensual'!$A$5:$A$51</f>
            </numRef>
          </cat>
          <val>
            <numRef>
              <f>'Crédito mensual'!$G$5:$G$51</f>
            </numRef>
          </val>
          <smooth val="0"/>
        </ser>
        <ser>
          <idx val="1"/>
          <order val="1"/>
          <tx>
            <strRef>
              <f>'Crédito mensual'!H4</f>
            </strRef>
          </tx>
          <spPr>
            <a:ln xmlns:a="http://schemas.openxmlformats.org/drawingml/2006/main" w="22000">
              <a:solidFill>
                <a:srgbClr val="8FCC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'Crédito mensual'!$A$5:$A$51</f>
            </numRef>
          </cat>
          <val>
            <numRef>
              <f>'Crédito mensual'!$H$5:$H$51</f>
            </numRef>
          </val>
          <smooth val="0"/>
        </ser>
        <ser>
          <idx val="2"/>
          <order val="2"/>
          <tx>
            <strRef>
              <f>'Crédito mensual'!I4</f>
            </strRef>
          </tx>
          <spPr>
            <a:ln xmlns:a="http://schemas.openxmlformats.org/drawingml/2006/main" w="22000">
              <a:solidFill>
                <a:srgbClr val="1B5F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'Crédito mensual'!$A$5:$A$51</f>
            </numRef>
          </cat>
          <val>
            <numRef>
              <f>'Crédito mensual'!$I$5:$I$51</f>
            </numRef>
          </val>
          <smooth val="0"/>
        </ser>
        <ser>
          <idx val="3"/>
          <order val="3"/>
          <tx>
            <strRef>
              <f>'Crédito mensual'!J4</f>
            </strRef>
          </tx>
          <spPr>
            <a:ln xmlns:a="http://schemas.openxmlformats.org/drawingml/2006/main" w="22000">
              <a:solidFill>
                <a:srgbClr val="84BF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'Crédito mensual'!$A$5:$A$51</f>
            </numRef>
          </cat>
          <val>
            <numRef>
              <f>'Crédito mensual'!$J$5:$J$51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millones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Mora: situación 3+4+5 sobre saldo total</a:t>
            </a:r>
          </a:p>
        </rich>
      </tx>
    </title>
    <plotArea>
      <lineChart>
        <grouping val="standard"/>
        <ser>
          <idx val="0"/>
          <order val="0"/>
          <tx>
            <strRef>
              <f>'Mora mensual'!B4</f>
            </strRef>
          </tx>
          <spPr>
            <a:ln xmlns:a="http://schemas.openxmlformats.org/drawingml/2006/main" w="22000">
              <a:solidFill>
                <a:srgbClr val="3C9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'Mora mensual'!$A$5:$A$51</f>
            </numRef>
          </cat>
          <val>
            <numRef>
              <f>'Mora mensual'!$B$5:$B$51</f>
            </numRef>
          </val>
          <smooth val="0"/>
        </ser>
        <ser>
          <idx val="1"/>
          <order val="1"/>
          <tx>
            <strRef>
              <f>'Mora mensual'!C4</f>
            </strRef>
          </tx>
          <spPr>
            <a:ln xmlns:a="http://schemas.openxmlformats.org/drawingml/2006/main" w="22000">
              <a:solidFill>
                <a:srgbClr val="8FCC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'Mora mensual'!$A$5:$A$51</f>
            </numRef>
          </cat>
          <val>
            <numRef>
              <f>'Mora mensual'!$C$5:$C$51</f>
            </numRef>
          </val>
          <smooth val="0"/>
        </ser>
        <ser>
          <idx val="2"/>
          <order val="2"/>
          <tx>
            <strRef>
              <f>'Mora mensual'!D4</f>
            </strRef>
          </tx>
          <spPr>
            <a:ln xmlns:a="http://schemas.openxmlformats.org/drawingml/2006/main" w="22000">
              <a:solidFill>
                <a:srgbClr val="1B5F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'Mora mensual'!$A$5:$A$51</f>
            </numRef>
          </cat>
          <val>
            <numRef>
              <f>'Mora mensual'!$D$5:$D$51</f>
            </numRef>
          </val>
          <smooth val="0"/>
        </ser>
        <ser>
          <idx val="3"/>
          <order val="3"/>
          <tx>
            <strRef>
              <f>'Mora mensual'!E4</f>
            </strRef>
          </tx>
          <spPr>
            <a:ln xmlns:a="http://schemas.openxmlformats.org/drawingml/2006/main" w="22000">
              <a:solidFill>
                <a:srgbClr val="84BF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'Mora mensual'!$A$5:$A$51</f>
            </numRef>
          </cat>
          <val>
            <numRef>
              <f>'Mora mensual'!$E$5:$E$51</f>
            </numRef>
          </val>
          <smooth val="0"/>
        </ser>
        <ser>
          <idx val="4"/>
          <order val="4"/>
          <tx>
            <strRef>
              <f>'Mora mensual'!F4</f>
            </strRef>
          </tx>
          <spPr>
            <a:ln xmlns:a="http://schemas.openxmlformats.org/drawingml/2006/main" w="22000">
              <a:solidFill>
                <a:srgbClr val="FEB1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'Mora mensual'!$A$5:$A$51</f>
            </numRef>
          </cat>
          <val>
            <numRef>
              <f>'Mora mensual'!$F$5:$F$51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Electro: saldo en pesos constantes de sep-26 ($ millones)</a:t>
            </a:r>
          </a:p>
        </rich>
      </tx>
    </title>
    <plotArea>
      <lineChart>
        <grouping val="standard"/>
        <ser>
          <idx val="0"/>
          <order val="0"/>
          <tx>
            <strRef>
              <f>'Electro crédito'!I4</f>
            </strRef>
          </tx>
          <spPr>
            <a:ln xmlns:a="http://schemas.openxmlformats.org/drawingml/2006/main" w="22000">
              <a:solidFill>
                <a:srgbClr val="3C9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'Electro crédito'!$A$5:$A$51</f>
            </numRef>
          </cat>
          <val>
            <numRef>
              <f>'Electro crédito'!$I$5:$I$51</f>
            </numRef>
          </val>
          <smooth val="0"/>
        </ser>
        <ser>
          <idx val="1"/>
          <order val="1"/>
          <tx>
            <strRef>
              <f>'Electro crédito'!J4</f>
            </strRef>
          </tx>
          <spPr>
            <a:ln xmlns:a="http://schemas.openxmlformats.org/drawingml/2006/main" w="22000">
              <a:solidFill>
                <a:srgbClr val="8FCC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'Electro crédito'!$A$5:$A$51</f>
            </numRef>
          </cat>
          <val>
            <numRef>
              <f>'Electro crédito'!$J$5:$J$51</f>
            </numRef>
          </val>
          <smooth val="0"/>
        </ser>
        <ser>
          <idx val="2"/>
          <order val="2"/>
          <tx>
            <strRef>
              <f>'Electro crédito'!K4</f>
            </strRef>
          </tx>
          <spPr>
            <a:ln xmlns:a="http://schemas.openxmlformats.org/drawingml/2006/main" w="22000">
              <a:solidFill>
                <a:srgbClr val="1B5F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'Electro crédito'!$A$5:$A$51</f>
            </numRef>
          </cat>
          <val>
            <numRef>
              <f>'Electro crédito'!$K$5:$K$51</f>
            </numRef>
          </val>
          <smooth val="0"/>
        </ser>
        <ser>
          <idx val="3"/>
          <order val="3"/>
          <tx>
            <strRef>
              <f>'Electro crédito'!L4</f>
            </strRef>
          </tx>
          <spPr>
            <a:ln xmlns:a="http://schemas.openxmlformats.org/drawingml/2006/main" w="22000">
              <a:solidFill>
                <a:srgbClr val="84BF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'Electro crédito'!$A$5:$A$51</f>
            </numRef>
          </cat>
          <val>
            <numRef>
              <f>'Electro crédito'!$L$5:$L$51</f>
            </numRef>
          </val>
          <smooth val="0"/>
        </ser>
        <ser>
          <idx val="4"/>
          <order val="4"/>
          <tx>
            <strRef>
              <f>'Electro crédito'!M4</f>
            </strRef>
          </tx>
          <spPr>
            <a:ln xmlns:a="http://schemas.openxmlformats.org/drawingml/2006/main" w="22000">
              <a:solidFill>
                <a:srgbClr val="FEB1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'Electro crédito'!$A$5:$A$51</f>
            </numRef>
          </cat>
          <val>
            <numRef>
              <f>'Electro crédito'!$M$5:$M$51</f>
            </numRef>
          </val>
          <smooth val="0"/>
        </ser>
        <ser>
          <idx val="5"/>
          <order val="5"/>
          <tx>
            <strRef>
              <f>'Electro crédito'!N4</f>
            </strRef>
          </tx>
          <spPr>
            <a:ln xmlns:a="http://schemas.openxmlformats.org/drawingml/2006/main" w="22000">
              <a:solidFill>
                <a:srgbClr val="DA45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'Electro crédito'!$A$5:$A$51</f>
            </numRef>
          </cat>
          <val>
            <numRef>
              <f>'Electro crédito'!$N$5:$N$51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millones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Electro: mora (situación 3+4+5 sobre saldo total)</a:t>
            </a:r>
          </a:p>
        </rich>
      </tx>
    </title>
    <plotArea>
      <lineChart>
        <grouping val="standard"/>
        <ser>
          <idx val="0"/>
          <order val="0"/>
          <tx>
            <strRef>
              <f>'Electro mora'!B4</f>
            </strRef>
          </tx>
          <spPr>
            <a:ln xmlns:a="http://schemas.openxmlformats.org/drawingml/2006/main" w="22000">
              <a:solidFill>
                <a:srgbClr val="3C9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'Electro mora'!$A$5:$A$51</f>
            </numRef>
          </cat>
          <val>
            <numRef>
              <f>'Electro mora'!$B$5:$B$51</f>
            </numRef>
          </val>
          <smooth val="0"/>
        </ser>
        <ser>
          <idx val="1"/>
          <order val="1"/>
          <tx>
            <strRef>
              <f>'Electro mora'!C4</f>
            </strRef>
          </tx>
          <spPr>
            <a:ln xmlns:a="http://schemas.openxmlformats.org/drawingml/2006/main" w="22000">
              <a:solidFill>
                <a:srgbClr val="8FCC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'Electro mora'!$A$5:$A$51</f>
            </numRef>
          </cat>
          <val>
            <numRef>
              <f>'Electro mora'!$C$5:$C$51</f>
            </numRef>
          </val>
          <smooth val="0"/>
        </ser>
        <ser>
          <idx val="2"/>
          <order val="2"/>
          <tx>
            <strRef>
              <f>'Electro mora'!D4</f>
            </strRef>
          </tx>
          <spPr>
            <a:ln xmlns:a="http://schemas.openxmlformats.org/drawingml/2006/main" w="22000">
              <a:solidFill>
                <a:srgbClr val="1B5F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'Electro mora'!$A$5:$A$51</f>
            </numRef>
          </cat>
          <val>
            <numRef>
              <f>'Electro mora'!$D$5:$D$51</f>
            </numRef>
          </val>
          <smooth val="0"/>
        </ser>
        <ser>
          <idx val="3"/>
          <order val="3"/>
          <tx>
            <strRef>
              <f>'Electro mora'!E4</f>
            </strRef>
          </tx>
          <spPr>
            <a:ln xmlns:a="http://schemas.openxmlformats.org/drawingml/2006/main" w="22000">
              <a:solidFill>
                <a:srgbClr val="84BF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'Electro mora'!$A$5:$A$51</f>
            </numRef>
          </cat>
          <val>
            <numRef>
              <f>'Electro mora'!$E$5:$E$51</f>
            </numRef>
          </val>
          <smooth val="0"/>
        </ser>
        <ser>
          <idx val="4"/>
          <order val="4"/>
          <tx>
            <strRef>
              <f>'Electro mora'!F4</f>
            </strRef>
          </tx>
          <spPr>
            <a:ln xmlns:a="http://schemas.openxmlformats.org/drawingml/2006/main" w="22000">
              <a:solidFill>
                <a:srgbClr val="FEB1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'Electro mora'!$A$5:$A$51</f>
            </numRef>
          </cat>
          <val>
            <numRef>
              <f>'Electro mora'!$F$5:$F$51</f>
            </numRef>
          </val>
          <smooth val="0"/>
        </ser>
        <ser>
          <idx val="5"/>
          <order val="5"/>
          <tx>
            <strRef>
              <f>'Electro mora'!G4</f>
            </strRef>
          </tx>
          <spPr>
            <a:ln xmlns:a="http://schemas.openxmlformats.org/drawingml/2006/main" w="22000">
              <a:solidFill>
                <a:srgbClr val="DA45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'Electro mora'!$A$5:$A$51</f>
            </numRef>
          </cat>
          <val>
            <numRef>
              <f>'Electro mora'!$G$5:$G$51</f>
            </numRef>
          </val>
          <smooth val="0"/>
        </ser>
        <ser>
          <idx val="6"/>
          <order val="6"/>
          <tx>
            <strRef>
              <f>'Electro mora'!H4</f>
            </strRef>
          </tx>
          <spPr>
            <a:ln xmlns:a="http://schemas.openxmlformats.org/drawingml/2006/main" w="22000">
              <a:solidFill>
                <a:srgbClr val="89C4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'Electro mora'!$A$5:$A$51</f>
            </numRef>
          </cat>
          <val>
            <numRef>
              <f>'Electro mora'!$H$5:$H$51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Préstamos en pesos constantes de sep-26 ($ millones)</a:t>
            </a:r>
          </a:p>
        </rich>
      </tx>
    </title>
    <plotArea>
      <lineChart>
        <grouping val="standard"/>
        <ser>
          <idx val="0"/>
          <order val="0"/>
          <tx>
            <strRef>
              <f>'Serie larga IEF'!F4</f>
            </strRef>
          </tx>
          <spPr>
            <a:ln xmlns:a="http://schemas.openxmlformats.org/drawingml/2006/main" w="22000">
              <a:solidFill>
                <a:srgbClr val="3C9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'Serie larga IEF'!$A$5:$A$120</f>
            </numRef>
          </cat>
          <val>
            <numRef>
              <f>'Serie larga IEF'!$F$5:$F$120</f>
            </numRef>
          </val>
          <smooth val="0"/>
        </ser>
        <ser>
          <idx val="1"/>
          <order val="1"/>
          <tx>
            <strRef>
              <f>'Serie larga IEF'!K4</f>
            </strRef>
          </tx>
          <spPr>
            <a:ln xmlns:a="http://schemas.openxmlformats.org/drawingml/2006/main" w="22000">
              <a:solidFill>
                <a:srgbClr val="8FCCC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'Serie larga IEF'!$A$5:$A$120</f>
            </numRef>
          </cat>
          <val>
            <numRef>
              <f>'Serie larga IEF'!$K$5:$K$120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millones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BSF (Carrefour Banco): mora según su balance</a:t>
            </a:r>
          </a:p>
        </rich>
      </tx>
    </title>
    <plotArea>
      <lineChart>
        <grouping val="standard"/>
        <ser>
          <idx val="0"/>
          <order val="0"/>
          <tx>
            <strRef>
              <f>'Mora IEF'!H5</f>
            </strRef>
          </tx>
          <spPr>
            <a:ln xmlns:a="http://schemas.openxmlformats.org/drawingml/2006/main" w="22000">
              <a:solidFill>
                <a:srgbClr val="3C9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'Mora IEF'!$A$6:$A$39</f>
            </numRef>
          </cat>
          <val>
            <numRef>
              <f>'Mora IEF'!$H$6:$H$39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3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26</row>
      <rowOff>0</rowOff>
    </from>
    <ext cx="86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49</row>
      <rowOff>0</rowOff>
    </from>
    <ext cx="86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3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3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16</col>
      <colOff>0</colOff>
      <row>3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16</col>
      <colOff>0</colOff>
      <row>3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12</col>
      <colOff>0</colOff>
      <row>3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tabColor rgb="003C9794"/>
    <outlinePr summaryBelow="1" summaryRight="1"/>
    <pageSetUpPr/>
  </sheetPr>
  <dimension ref="A1:K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2" customWidth="1" min="4" max="4"/>
    <col width="15" customWidth="1" min="5" max="5"/>
    <col width="14" customWidth="1" min="6" max="6"/>
    <col width="11" customWidth="1" min="7" max="7"/>
    <col width="11" customWidth="1" min="8" max="8"/>
    <col width="10" customWidth="1" min="9" max="9"/>
    <col width="13" customWidth="1" min="10" max="10"/>
    <col width="12" customWidth="1" min="11" max="11"/>
  </cols>
  <sheetData>
    <row r="1">
      <c r="A1" s="1" t="inlineStr">
        <is>
          <t>Crédito de las entidades que financian a las cadenas de supermercados</t>
        </is>
      </c>
    </row>
    <row r="2">
      <c r="A2" s="2" t="inlineStr">
        <is>
          <t>Saldo de financiaciones y mora por entidad · Central de Deudores último dato: ago-26 · IEF último dato: jul-26</t>
        </is>
      </c>
    </row>
    <row r="4" ht="44" customHeight="1">
      <c r="A4" s="3" t="inlineStr">
        <is>
          <t>Entidad</t>
        </is>
      </c>
      <c r="B4" s="3" t="inlineStr">
        <is>
          <t>Cadena</t>
        </is>
      </c>
      <c r="C4" s="3" t="inlineStr">
        <is>
          <t>Saldo ago-26
($ millones)</t>
        </is>
      </c>
      <c r="D4" s="3" t="inlineStr">
        <is>
          <t>Participación</t>
        </is>
      </c>
      <c r="E4" s="3" t="inlineStr">
        <is>
          <t>Var. real i.a.
(ago-26 vs ago-25)</t>
        </is>
      </c>
      <c r="F4" s="3" t="inlineStr">
        <is>
          <t>Var. real vs dic-25</t>
        </is>
      </c>
      <c r="G4" s="3" t="inlineStr">
        <is>
          <t>Mora ago-25</t>
        </is>
      </c>
      <c r="H4" s="3" t="inlineStr">
        <is>
          <t>Mora ago-26</t>
        </is>
      </c>
      <c r="I4" s="3" t="inlineStr">
        <is>
          <t>Δ mora (pp)</t>
        </is>
      </c>
      <c r="J4" s="3" t="inlineStr">
        <is>
          <t>Mora ago-26
solo préstamos</t>
        </is>
      </c>
      <c r="K4" s="3" t="inlineStr">
        <is>
          <t>Deudores ago-26</t>
        </is>
      </c>
    </row>
    <row r="5" ht="28" customHeight="1">
      <c r="A5" s="4" t="inlineStr">
        <is>
          <t>BSF (Carrefour Banco)</t>
        </is>
      </c>
      <c r="B5" s="5" t="inlineStr">
        <is>
          <t>Carrefour</t>
        </is>
      </c>
      <c r="C5" s="6" t="n">
        <v>467450.14</v>
      </c>
      <c r="D5" s="7" t="n">
        <v>0.4105367836087847</v>
      </c>
      <c r="E5" s="7" t="n">
        <v>-0.0005813700948607003</v>
      </c>
      <c r="F5" s="7" t="n">
        <v>-0.02770436159575773</v>
      </c>
      <c r="G5" s="7" t="n">
        <v>0.2956163447177577</v>
      </c>
      <c r="H5" s="7" t="n">
        <v>0.5460845663668001</v>
      </c>
      <c r="I5" s="8" t="n">
        <v>25.04682216490425</v>
      </c>
      <c r="J5" s="7" t="n">
        <v>0.5007424527433934</v>
      </c>
      <c r="K5" s="6" t="n">
        <v>488383</v>
      </c>
    </row>
    <row r="6" ht="28" customHeight="1">
      <c r="A6" s="4" t="inlineStr">
        <is>
          <t>Cencosud S.A. (Tarjeta Cencosud)</t>
        </is>
      </c>
      <c r="B6" s="5" t="inlineStr">
        <is>
          <t>Jumbo, Disco, Vea, Easy, Blaisten</t>
        </is>
      </c>
      <c r="C6" s="6" t="n">
        <v>494276.432</v>
      </c>
      <c r="D6" s="7" t="n">
        <v>0.4340968998467005</v>
      </c>
      <c r="E6" s="7" t="n">
        <v>-0.08027929994042327</v>
      </c>
      <c r="F6" s="7" t="n">
        <v>-0.03408905715154165</v>
      </c>
      <c r="G6" s="7" t="n">
        <v>0.1429525790806077</v>
      </c>
      <c r="H6" s="7" t="n">
        <v>0.3012927349123537</v>
      </c>
      <c r="I6" s="8" t="n">
        <v>15.8340155831746</v>
      </c>
      <c r="J6" s="7" t="n">
        <v>0.3012927349123541</v>
      </c>
      <c r="K6" s="6" t="n">
        <v>524393</v>
      </c>
    </row>
    <row r="7" ht="28" customHeight="1">
      <c r="A7" s="4" t="inlineStr">
        <is>
          <t>Tarjetas del Mar S.A. (Tarjeta La Anónima)</t>
        </is>
      </c>
      <c r="B7" s="5" t="inlineStr">
        <is>
          <t>La Anónima</t>
        </is>
      </c>
      <c r="C7" s="6" t="n">
        <v>170421.055</v>
      </c>
      <c r="D7" s="7" t="n">
        <v>0.1496718169319957</v>
      </c>
      <c r="E7" s="7" t="n">
        <v>0.03875879586465514</v>
      </c>
      <c r="F7" s="7" t="n">
        <v>-0.02067707538788022</v>
      </c>
      <c r="G7" s="7" t="n">
        <v>0.1278103330552416</v>
      </c>
      <c r="H7" s="7" t="n">
        <v>0.3246337314365294</v>
      </c>
      <c r="I7" s="8" t="n">
        <v>19.68233983812878</v>
      </c>
      <c r="J7" s="7" t="n">
        <v>0.3246337314365296</v>
      </c>
      <c r="K7" s="6" t="n">
        <v>200573</v>
      </c>
    </row>
    <row r="8" ht="28" customHeight="1">
      <c r="A8" s="4" t="inlineStr">
        <is>
          <t>Coto CIC (Tarjeta TCI)</t>
        </is>
      </c>
      <c r="B8" s="5" t="inlineStr">
        <is>
          <t>Coto</t>
        </is>
      </c>
      <c r="C8" s="6" t="n">
        <v>6483.937</v>
      </c>
      <c r="D8" s="7" t="n">
        <v>0.005694499612519085</v>
      </c>
      <c r="E8" s="7" t="n">
        <v>-0.2314245108240293</v>
      </c>
      <c r="F8" s="7" t="n">
        <v>-0.2288659925042787</v>
      </c>
      <c r="G8" s="7" t="n">
        <v>0.03026998055048445</v>
      </c>
      <c r="H8" s="7" t="n">
        <v>0.08578152440407734</v>
      </c>
      <c r="I8" s="8" t="n">
        <v>5.551154385359289</v>
      </c>
      <c r="J8" s="7" t="n">
        <v>0.0857815244040772</v>
      </c>
      <c r="K8" s="6" t="n">
        <v>19476</v>
      </c>
    </row>
    <row r="9">
      <c r="A9" s="9" t="inlineStr">
        <is>
          <t>Total</t>
        </is>
      </c>
      <c r="B9" s="9" t="inlineStr"/>
      <c r="C9" s="10" t="n">
        <v>1138631.564</v>
      </c>
      <c r="D9" s="11" t="n">
        <v>1</v>
      </c>
      <c r="E9" s="11" t="n">
        <v>-0.03312482879951872</v>
      </c>
      <c r="F9" s="11" t="n">
        <v>-0.03088392628904768</v>
      </c>
      <c r="G9" s="11" t="n">
        <v>0.2006690925361718</v>
      </c>
      <c r="H9" s="11" t="n">
        <v>0.4040550469054097</v>
      </c>
      <c r="I9" s="12" t="n">
        <v>20.33859543692379</v>
      </c>
      <c r="J9" s="11" t="n">
        <v>0.3809749613970156</v>
      </c>
      <c r="K9" s="10" t="n"/>
    </row>
    <row r="11" ht="16" customHeight="1">
      <c r="A11" s="13" t="inlineStr">
        <is>
          <t>Lectura</t>
        </is>
      </c>
    </row>
    <row r="12" ht="30" customHeight="1">
      <c r="A12" s="14" t="inlineStr">
        <is>
          <t>• Saldo y mora de la Central de Deudores: la misma fuente para las cuatro entidades, mensual desde oct-22. Mora = saldo en situación 3, 4 y 5 sobre el saldo total.</t>
        </is>
      </c>
    </row>
    <row r="13" ht="30" customHeight="1">
      <c r="A13" s="14" t="inlineStr">
        <is>
          <t>• "Mora solo préstamos" excluye las garantías otorgadas y los "otros conceptos" (irrecuperables en partidas fuera de balance). Es la medida comparable con el balance de la entidad.</t>
        </is>
      </c>
    </row>
    <row r="14" ht="30" customHeight="1">
      <c r="A14" s="14" t="inlineStr">
        <is>
          <t>• BSF según su propio balance (IEF, estado de situación de deudores): mora 50,2% en jul-26. Ver la hoja "Mora IEF" para la serie desde 2015. El IEF de ago-26 todavía no está publicado.</t>
        </is>
      </c>
    </row>
    <row r="15" ht="30" customHeight="1">
      <c r="A15" s="14" t="inlineStr">
        <is>
          <t>• IUDÚ Compañía Financiera (ChangoMás) ya no existe como entidad separada: en oct-dic 2022 cedió su cartera a Banco Supervielle y luego fue absorbida por ese banco (baja en el IEF). Su serie llega hasta 2022 (hoja "Serie larga IEF"); desde entonces la financiación de ChangoMás no se puede aislar del balance de Supervielle.</t>
        </is>
      </c>
    </row>
    <row r="16" ht="30" customHeight="1">
      <c r="A16" s="14" t="inlineStr">
        <is>
          <t>• Tarjetas del Mar S.A. es la emisora de la Tarjeta La Anónima (no estaba en la lista original). Se toma el saldo total de la entidad: no se verificó si emite otras tarjetas.</t>
        </is>
      </c>
    </row>
    <row r="17" ht="30" customHeight="1">
      <c r="A17" s="14" t="inlineStr">
        <is>
          <t>• Cencosud S.A. y Coto CIC son emisores no bancarios de tarjeta: su saldo en la Central es esencialmente la tarjeta de la cadena.</t>
        </is>
      </c>
    </row>
    <row r="18" ht="30" customHeight="1">
      <c r="A18" s="14" t="inlineStr">
        <is>
          <t>• ago-26: la Central de ese mes todavía llega con menos entidades que la del mes anterior, pero las cuatro de este cuadro informan completas (misma cantidad de deudores que el mes previo).</t>
        </is>
      </c>
    </row>
    <row r="20">
      <c r="A20" s="15" t="inlineStr">
        <is>
          <t>Fuente: EcoGo en base a BCRA, Central de Deudores del Sistema Financiero (24DSF); BCRA, Información de Entidades Financieras (balhist y esd). Variaciones reales en pesos constantes de sep-26 (IPC INDEC). Central: último dato: ago-26; IEF: último dato: jul-26.</t>
        </is>
      </c>
    </row>
    <row r="21">
      <c r="A21" s="16" t="inlineStr">
        <is>
          <t>www.ecogo.com.ar</t>
        </is>
      </c>
    </row>
  </sheetData>
  <mergeCells count="11">
    <mergeCell ref="A12:K12"/>
    <mergeCell ref="A18:K18"/>
    <mergeCell ref="A20:K20"/>
    <mergeCell ref="A15:K15"/>
    <mergeCell ref="A2:K2"/>
    <mergeCell ref="A11:K11"/>
    <mergeCell ref="A16:K16"/>
    <mergeCell ref="A13:K13"/>
    <mergeCell ref="A14:K14"/>
    <mergeCell ref="A1:K1"/>
    <mergeCell ref="A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C9794"/>
    <outlinePr summaryBelow="1" summaryRight="1"/>
    <pageSetUpPr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3" customWidth="1" min="4" max="4"/>
    <col width="15" customWidth="1" min="5" max="5"/>
    <col width="14" customWidth="1" min="6" max="6"/>
    <col width="11" customWidth="1" min="7" max="7"/>
    <col width="11" customWidth="1" min="8" max="8"/>
    <col width="10" customWidth="1" min="9" max="9"/>
    <col width="14" customWidth="1" min="10" max="10"/>
  </cols>
  <sheetData>
    <row r="1">
      <c r="A1" s="25" t="inlineStr">
        <is>
          <t>Crédito de las cadenas de electrodomésticos y total con supermercados</t>
        </is>
      </c>
    </row>
    <row r="2">
      <c r="A2" s="26" t="inlineStr">
        <is>
          <t>Saldo de financiaciones y mora por entidad · Central de Deudores · último dato: ago-26</t>
        </is>
      </c>
    </row>
    <row r="4" ht="44" customHeight="1">
      <c r="A4" s="3" t="inlineStr">
        <is>
          <t>Entidad</t>
        </is>
      </c>
      <c r="B4" s="3" t="inlineStr">
        <is>
          <t>Cadena</t>
        </is>
      </c>
      <c r="C4" s="3" t="inlineStr">
        <is>
          <t>Saldo ago-26
($ millones)</t>
        </is>
      </c>
      <c r="D4" s="3" t="inlineStr">
        <is>
          <t>Participación</t>
        </is>
      </c>
      <c r="E4" s="3" t="inlineStr">
        <is>
          <t>Var. real i.a.
(ago-26 vs ago-25)</t>
        </is>
      </c>
      <c r="F4" s="3" t="inlineStr">
        <is>
          <t>Var. real vs dic-25</t>
        </is>
      </c>
      <c r="G4" s="3" t="inlineStr">
        <is>
          <t>Mora ago-25</t>
        </is>
      </c>
      <c r="H4" s="3" t="inlineStr">
        <is>
          <t>Mora ago-26</t>
        </is>
      </c>
      <c r="I4" s="3" t="inlineStr">
        <is>
          <t>Δ mora (pp)</t>
        </is>
      </c>
      <c r="J4" s="3" t="inlineStr">
        <is>
          <t>Mora temprana
(sit. 2) jul-26</t>
        </is>
      </c>
    </row>
    <row r="5" ht="20" customHeight="1">
      <c r="A5" s="27" t="inlineStr">
        <is>
          <t>Electrónica Megatone S.R.L.</t>
        </is>
      </c>
      <c r="B5" s="27" t="inlineStr">
        <is>
          <t>Megatone</t>
        </is>
      </c>
      <c r="C5" s="28" t="n">
        <v>362212.921</v>
      </c>
      <c r="D5" s="29" t="n">
        <v>0.3765624337567636</v>
      </c>
      <c r="E5" s="29" t="n">
        <v>0.1429956928510883</v>
      </c>
      <c r="F5" s="29" t="n">
        <v>0.02363075085080046</v>
      </c>
      <c r="G5" s="29" t="n">
        <v>0.3202511148718459</v>
      </c>
      <c r="H5" s="29" t="n">
        <v>0.6124108697933501</v>
      </c>
      <c r="I5" s="30" t="n">
        <v>29.21597549215043</v>
      </c>
      <c r="J5" s="29" t="n">
        <v>0.04789063422581499</v>
      </c>
    </row>
    <row r="6" ht="20" customHeight="1">
      <c r="A6" s="27" t="inlineStr">
        <is>
          <t>Naldo Lombardi S.A.</t>
        </is>
      </c>
      <c r="B6" s="27" t="inlineStr">
        <is>
          <t>Naldo</t>
        </is>
      </c>
      <c r="C6" s="28" t="n">
        <v>288959.2224029733</v>
      </c>
      <c r="D6" s="29" t="n">
        <v>0.3004066993085693</v>
      </c>
      <c r="E6" s="29" t="n">
        <v>-0.1220393970703036</v>
      </c>
      <c r="F6" s="29" t="n">
        <v>-0.07018627514289755</v>
      </c>
      <c r="G6" s="29" t="n">
        <v>0.1825126560931134</v>
      </c>
      <c r="H6" s="29" t="n">
        <v>0.3017139958489223</v>
      </c>
      <c r="I6" s="30" t="n">
        <v>11.92013397558089</v>
      </c>
      <c r="J6" s="29" t="n">
        <v>0.05185223260664138</v>
      </c>
    </row>
    <row r="7" ht="20" customHeight="1">
      <c r="A7" s="27" t="inlineStr">
        <is>
          <t>Cetrogar S.A.</t>
        </is>
      </c>
      <c r="B7" s="27" t="inlineStr">
        <is>
          <t>Cetrogar</t>
        </is>
      </c>
      <c r="C7" s="28" t="n">
        <v>144057.922</v>
      </c>
      <c r="D7" s="29" t="n">
        <v>0.1497649547136448</v>
      </c>
      <c r="E7" s="29" t="n">
        <v>0.2252227351760272</v>
      </c>
      <c r="F7" s="29" t="n">
        <v>0.1510178409681191</v>
      </c>
      <c r="G7" s="29" t="n">
        <v>0.3911902817373331</v>
      </c>
      <c r="H7" s="29" t="n">
        <v>0.547978659583886</v>
      </c>
      <c r="I7" s="30" t="n">
        <v>15.67883778465529</v>
      </c>
      <c r="J7" s="29" t="n">
        <v>0.05804108471813425</v>
      </c>
    </row>
    <row r="8" ht="20" customHeight="1">
      <c r="A8" s="27" t="inlineStr">
        <is>
          <t>Frávega S.A.C.I. e I.</t>
        </is>
      </c>
      <c r="B8" s="27" t="inlineStr">
        <is>
          <t>Frávega</t>
        </is>
      </c>
      <c r="C8" s="28" t="n">
        <v>104439.361</v>
      </c>
      <c r="D8" s="29" t="n">
        <v>0.1085768554296306</v>
      </c>
      <c r="E8" s="29" t="n">
        <v>-0.2420537532990568</v>
      </c>
      <c r="F8" s="29" t="n">
        <v>-0.2541464228265966</v>
      </c>
      <c r="G8" s="29" t="n">
        <v>0.2908506038048591</v>
      </c>
      <c r="H8" s="29" t="n">
        <v>0.5904987201137701</v>
      </c>
      <c r="I8" s="30" t="n">
        <v>29.9648116308911</v>
      </c>
      <c r="J8" s="29" t="n">
        <v>0.06235560441337695</v>
      </c>
    </row>
    <row r="9" ht="20" customHeight="1">
      <c r="A9" s="27" t="inlineStr">
        <is>
          <t>Favanet S.A.</t>
        </is>
      </c>
      <c r="B9" s="27" t="inlineStr">
        <is>
          <t>Favanet</t>
        </is>
      </c>
      <c r="C9" s="28" t="n">
        <v>37082.289</v>
      </c>
      <c r="D9" s="29" t="n">
        <v>0.03855134973252836</v>
      </c>
      <c r="E9" s="29" t="n">
        <v>-0.1168803932675135</v>
      </c>
      <c r="F9" s="29" t="n">
        <v>-0.1293537360499358</v>
      </c>
      <c r="G9" s="29" t="n">
        <v>0.2150131626283633</v>
      </c>
      <c r="H9" s="29" t="n">
        <v>0.4383232653194629</v>
      </c>
      <c r="I9" s="30" t="n">
        <v>22.33101026910996</v>
      </c>
      <c r="J9" s="29" t="n">
        <v>0.06831728260930901</v>
      </c>
    </row>
    <row r="10" ht="20" customHeight="1">
      <c r="A10" s="27" t="inlineStr">
        <is>
          <t>Carsa S.A.</t>
        </is>
      </c>
      <c r="B10" s="27" t="inlineStr">
        <is>
          <t>Musimundo (Carsa)</t>
        </is>
      </c>
      <c r="C10" s="28" t="n">
        <v>25141.688</v>
      </c>
      <c r="D10" s="29" t="n">
        <v>0.02613770705886337</v>
      </c>
      <c r="E10" s="29" t="n">
        <v>-0.2200078783237619</v>
      </c>
      <c r="F10" s="29" t="n">
        <v>-0.158598976338404</v>
      </c>
      <c r="G10" s="29" t="n">
        <v>0.2891930541250252</v>
      </c>
      <c r="H10" s="29" t="n">
        <v>0.635094071647059</v>
      </c>
      <c r="I10" s="30" t="n">
        <v>34.59010175220338</v>
      </c>
      <c r="J10" s="29" t="n">
        <v>0.05571001620693991</v>
      </c>
    </row>
    <row r="12">
      <c r="A12" s="31" t="inlineStr">
        <is>
          <t>Agregados por segmento</t>
        </is>
      </c>
    </row>
    <row r="13" ht="44" customHeight="1">
      <c r="A13" s="3" t="inlineStr">
        <is>
          <t>Segmento</t>
        </is>
      </c>
      <c r="B13" s="3" t="inlineStr"/>
      <c r="C13" s="3" t="inlineStr">
        <is>
          <t>Saldo ago-26
($ millones)</t>
        </is>
      </c>
      <c r="D13" s="3" t="inlineStr">
        <is>
          <t>Participación en el conjunto</t>
        </is>
      </c>
      <c r="E13" s="3" t="inlineStr">
        <is>
          <t>Var. real i.a.
(ago-26 vs ago-25)</t>
        </is>
      </c>
      <c r="F13" s="3" t="inlineStr">
        <is>
          <t>Var. real vs dic-25</t>
        </is>
      </c>
      <c r="G13" s="3" t="inlineStr">
        <is>
          <t>Mora ago-25</t>
        </is>
      </c>
      <c r="H13" s="3" t="inlineStr">
        <is>
          <t>Mora ago-26</t>
        </is>
      </c>
      <c r="I13" s="3" t="inlineStr">
        <is>
          <t>Δ mora (pp)</t>
        </is>
      </c>
      <c r="J13" s="3" t="inlineStr">
        <is>
          <t>Mora temprana
(sit. 2) jul-26</t>
        </is>
      </c>
    </row>
    <row r="14">
      <c r="A14" s="27" t="inlineStr">
        <is>
          <t>Total electrodomésticos</t>
        </is>
      </c>
      <c r="B14" s="27" t="inlineStr"/>
      <c r="C14" s="28" t="n">
        <v>961893.4034029732</v>
      </c>
      <c r="D14" s="29" t="n">
        <v>0.4579300024185048</v>
      </c>
      <c r="E14" s="29" t="n">
        <v>-0.01406582545268265</v>
      </c>
      <c r="F14" s="29" t="n">
        <v>-0.04029307524232961</v>
      </c>
      <c r="G14" s="29" t="n">
        <v>0.2726261828871773</v>
      </c>
      <c r="H14" s="29" t="n">
        <v>0.5009281828152198</v>
      </c>
      <c r="I14" s="30" t="n">
        <v>22.83019999280425</v>
      </c>
      <c r="J14" s="29" t="n">
        <v>0.05318977961317625</v>
      </c>
    </row>
    <row r="15">
      <c r="A15" s="27" t="inlineStr">
        <is>
          <t>Total supermercados</t>
        </is>
      </c>
      <c r="B15" s="27" t="inlineStr"/>
      <c r="C15" s="28" t="n">
        <v>1138631.564</v>
      </c>
      <c r="D15" s="29" t="n">
        <v>0.5420699975814952</v>
      </c>
      <c r="E15" s="29" t="n">
        <v>-0.03312482879951772</v>
      </c>
      <c r="F15" s="29" t="n">
        <v>-0.03088392628904768</v>
      </c>
      <c r="G15" s="29" t="n">
        <v>0.2006690925361719</v>
      </c>
      <c r="H15" s="29" t="n">
        <v>0.4040550469054098</v>
      </c>
      <c r="I15" s="30" t="n">
        <v>20.33859543692379</v>
      </c>
      <c r="J15" s="29" t="n">
        <v>0.04629015487080337</v>
      </c>
    </row>
    <row r="16">
      <c r="A16" s="32" t="inlineStr">
        <is>
          <t>Total super + electro</t>
        </is>
      </c>
      <c r="B16" s="32" t="inlineStr"/>
      <c r="C16" s="33" t="n">
        <v>2100524.967402973</v>
      </c>
      <c r="D16" s="34" t="n">
        <v>1</v>
      </c>
      <c r="E16" s="34" t="n">
        <v>-0.02448941104637514</v>
      </c>
      <c r="F16" s="34" t="n">
        <v>-0.03521545454396469</v>
      </c>
      <c r="G16" s="34" t="n">
        <v>0.2332720321639014</v>
      </c>
      <c r="H16" s="34" t="n">
        <v>0.4484161622668772</v>
      </c>
      <c r="I16" s="35" t="n">
        <v>21.51441301029758</v>
      </c>
      <c r="J16" s="34" t="n">
        <v>0.04943998216924039</v>
      </c>
    </row>
    <row r="18" ht="16" customHeight="1">
      <c r="A18" s="13" t="inlineStr">
        <is>
          <t>Lectura</t>
        </is>
      </c>
    </row>
    <row r="19" ht="30" customHeight="1">
      <c r="A19" s="14" t="inlineStr">
        <is>
          <t>• Mora del conjunto en ago-26: 44,8% del saldo (supermercados 40,4%; electrodomésticos 50,1%).</t>
        </is>
      </c>
    </row>
    <row r="20" ht="30" customHeight="1">
      <c r="A20" s="14" t="inlineStr">
        <is>
          <t>• Electro: entidades no financieras que financian a las cadenas (proveedores no financieros de crédito, códigos BCRA 55xxx). Mismo criterio de saldo y de mora que la hoja "Mora mensual" de supermercados.</t>
        </is>
      </c>
    </row>
    <row r="21" ht="30" customHeight="1">
      <c r="A21" s="14" t="inlineStr">
        <is>
          <t>• Mora temprana (sit. 2): la columna toma jul-26, último mes con apertura por situación disponible para electro; ago-26 no pudo descargarse en esta actualización.</t>
        </is>
      </c>
    </row>
    <row r="22" ht="30" customHeight="1">
      <c r="A22" s="14" t="inlineStr">
        <is>
          <t>• No incluido: Coppel S.A. (tienda departamental; informa de forma intermitente a la Central), Hogar Total S.A. y Hendel Hogar S.A. (no se verificó su vínculo con cadenas de electrodomésticos).</t>
        </is>
      </c>
    </row>
    <row r="24">
      <c r="A24" s="36" t="inlineStr">
        <is>
          <t>Fuente: EcoGo en base a BCRA, Central de Deudores del Sistema Financiero (24DSF); procesamiento EcoGo. Variaciones reales en pesos constantes de sep-26 (IPC INDEC). Último dato: ago-26.</t>
        </is>
      </c>
    </row>
    <row r="25">
      <c r="A25" s="37" t="inlineStr">
        <is>
          <t>www.ecogo.com.ar</t>
        </is>
      </c>
    </row>
  </sheetData>
  <mergeCells count="8">
    <mergeCell ref="A1:J1"/>
    <mergeCell ref="A22:J22"/>
    <mergeCell ref="A18:J18"/>
    <mergeCell ref="A21:J21"/>
    <mergeCell ref="A20:J20"/>
    <mergeCell ref="A24:J24"/>
    <mergeCell ref="A2:J2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C9794"/>
    <outlinePr summaryBelow="1" summaryRight="1"/>
    <pageSetUpPr/>
  </sheetPr>
  <dimension ref="A1:M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5" t="inlineStr">
        <is>
          <t>Supermercados + electrodomésticos: crédito y mora del conjunto</t>
        </is>
      </c>
    </row>
    <row r="2">
      <c r="A2" s="26" t="inlineStr">
        <is>
          <t>Central de Deudores · $ millones de sep-26 (IPC INDEC) y % del saldo · último dato: ago-26</t>
        </is>
      </c>
    </row>
    <row r="3">
      <c r="B3" s="38" t="inlineStr">
        <is>
          <t>Saldo en pesos constantes de sep-26 ($ millones)</t>
        </is>
      </c>
      <c r="E3" s="38" t="inlineStr">
        <is>
          <t>Mora (sit. 3+4+5 / total)</t>
        </is>
      </c>
      <c r="H3" s="38" t="inlineStr">
        <is>
          <t>Mora temprana (sit. 2 / total)</t>
        </is>
      </c>
      <c r="K3" s="38" t="inlineStr">
        <is>
          <t>Saldo en pesos corrientes ($ millones)</t>
        </is>
      </c>
    </row>
    <row r="4" ht="44" customHeight="1">
      <c r="A4" s="3" t="inlineStr">
        <is>
          <t>Mes</t>
        </is>
      </c>
      <c r="B4" s="3" t="inlineStr">
        <is>
          <t>Supermercados</t>
        </is>
      </c>
      <c r="C4" s="3" t="inlineStr">
        <is>
          <t>Electrodomésticos</t>
        </is>
      </c>
      <c r="D4" s="3" t="inlineStr">
        <is>
          <t>Total super + electro</t>
        </is>
      </c>
      <c r="E4" s="3" t="inlineStr">
        <is>
          <t>Mora supermercados</t>
        </is>
      </c>
      <c r="F4" s="3" t="inlineStr">
        <is>
          <t>Mora electrodomésticos</t>
        </is>
      </c>
      <c r="G4" s="3" t="inlineStr">
        <is>
          <t>Mora conjunta</t>
        </is>
      </c>
      <c r="H4" s="3" t="inlineStr">
        <is>
          <t>Mora temprana supermercados</t>
        </is>
      </c>
      <c r="I4" s="3" t="inlineStr">
        <is>
          <t>Mora temprana electrodomésticos</t>
        </is>
      </c>
      <c r="J4" s="3" t="inlineStr">
        <is>
          <t>Mora temprana conjunta</t>
        </is>
      </c>
      <c r="K4" s="3" t="inlineStr">
        <is>
          <t>Supermercados</t>
        </is>
      </c>
      <c r="L4" s="3" t="inlineStr">
        <is>
          <t>Electrodomésticos</t>
        </is>
      </c>
      <c r="M4" s="3" t="inlineStr">
        <is>
          <t>Total super + electro</t>
        </is>
      </c>
    </row>
    <row r="5">
      <c r="A5" s="39" t="inlineStr">
        <is>
          <t>oct-22</t>
        </is>
      </c>
      <c r="B5" s="28" t="n">
        <v>789677.3349723268</v>
      </c>
      <c r="C5" s="28" t="n">
        <v>779316.2940915306</v>
      </c>
      <c r="D5" s="28" t="n">
        <v>1568993.629063857</v>
      </c>
      <c r="E5" s="29" t="n">
        <v>0.0743056778751785</v>
      </c>
      <c r="F5" s="29" t="n">
        <v>0.1410230311930707</v>
      </c>
      <c r="G5" s="29" t="n">
        <v>0.1074440664423247</v>
      </c>
      <c r="H5" s="29" t="n">
        <v>0.03146973531729848</v>
      </c>
      <c r="I5" s="29" t="n"/>
      <c r="J5" s="29" t="n"/>
      <c r="K5" s="28" t="n">
        <v>64914.178</v>
      </c>
      <c r="L5" s="28" t="n">
        <v>64062.465</v>
      </c>
      <c r="M5" s="28" t="n">
        <v>128976.643</v>
      </c>
    </row>
    <row r="6">
      <c r="A6" s="40" t="inlineStr">
        <is>
          <t>nov-22</t>
        </is>
      </c>
      <c r="B6" s="41" t="n">
        <v>805246.1308701299</v>
      </c>
      <c r="C6" s="41" t="n">
        <v>793795.6830098766</v>
      </c>
      <c r="D6" s="41" t="n">
        <v>1599041.813880007</v>
      </c>
      <c r="E6" s="42" t="n">
        <v>0.07375505016834134</v>
      </c>
      <c r="F6" s="42" t="n">
        <v>0.139097136690513</v>
      </c>
      <c r="G6" s="42" t="n">
        <v>0.1061921420254339</v>
      </c>
      <c r="H6" s="42" t="n">
        <v>0.03227073769247805</v>
      </c>
      <c r="I6" s="42" t="n"/>
      <c r="J6" s="42" t="n"/>
      <c r="K6" s="41" t="n">
        <v>69448.17999999999</v>
      </c>
      <c r="L6" s="41" t="n">
        <v>68460.64</v>
      </c>
      <c r="M6" s="41" t="n">
        <v>137908.82</v>
      </c>
    </row>
    <row r="7">
      <c r="A7" s="39" t="inlineStr">
        <is>
          <t>dic-22</t>
        </is>
      </c>
      <c r="B7" s="28" t="n">
        <v>822879.2244209072</v>
      </c>
      <c r="C7" s="28" t="n">
        <v>833413.1649622867</v>
      </c>
      <c r="D7" s="28" t="n">
        <v>1656292.389383194</v>
      </c>
      <c r="E7" s="29" t="n">
        <v>0.07074800598666431</v>
      </c>
      <c r="F7" s="29" t="n">
        <v>0.1330809928572424</v>
      </c>
      <c r="G7" s="29" t="n">
        <v>0.1021127168326202</v>
      </c>
      <c r="H7" s="29" t="n">
        <v>0.03038138311461492</v>
      </c>
      <c r="I7" s="29" t="n"/>
      <c r="J7" s="29" t="n"/>
      <c r="K7" s="28" t="n">
        <v>74605.81999999999</v>
      </c>
      <c r="L7" s="28" t="n">
        <v>75560.87299999999</v>
      </c>
      <c r="M7" s="28" t="n">
        <v>150166.693</v>
      </c>
    </row>
    <row r="8">
      <c r="A8" s="40" t="inlineStr">
        <is>
          <t>ene-23</t>
        </is>
      </c>
      <c r="B8" s="41" t="n">
        <v>789091.4936728104</v>
      </c>
      <c r="C8" s="41" t="n">
        <v>834089.7950613892</v>
      </c>
      <c r="D8" s="41" t="n">
        <v>1623181.288734199</v>
      </c>
      <c r="E8" s="42" t="n">
        <v>0.07778437237999193</v>
      </c>
      <c r="F8" s="42" t="n">
        <v>0.1338456415989044</v>
      </c>
      <c r="G8" s="42" t="n">
        <v>0.1065920803533563</v>
      </c>
      <c r="H8" s="42" t="n">
        <v>0.03282701316052249</v>
      </c>
      <c r="I8" s="42" t="n"/>
      <c r="J8" s="42" t="n"/>
      <c r="K8" s="41" t="n">
        <v>75854.967</v>
      </c>
      <c r="L8" s="41" t="n">
        <v>80180.63099999999</v>
      </c>
      <c r="M8" s="41" t="n">
        <v>156035.598</v>
      </c>
    </row>
    <row r="9">
      <c r="A9" s="39" t="inlineStr">
        <is>
          <t>feb-23</t>
        </is>
      </c>
      <c r="B9" s="28" t="n">
        <v>795971.2220097915</v>
      </c>
      <c r="C9" s="28" t="n">
        <v>797062.7561183096</v>
      </c>
      <c r="D9" s="28" t="n">
        <v>1593033.978128101</v>
      </c>
      <c r="E9" s="29" t="n">
        <v>0.07859124425770583</v>
      </c>
      <c r="F9" s="29" t="n">
        <v>0.1401110212655813</v>
      </c>
      <c r="G9" s="29" t="n">
        <v>0.109372209190607</v>
      </c>
      <c r="H9" s="29" t="n">
        <v>0.03618527815501375</v>
      </c>
      <c r="I9" s="29" t="n"/>
      <c r="J9" s="29" t="n"/>
      <c r="K9" s="28" t="n">
        <v>81587.59999999999</v>
      </c>
      <c r="L9" s="28" t="n">
        <v>81699.48299999999</v>
      </c>
      <c r="M9" s="28" t="n">
        <v>163287.083</v>
      </c>
    </row>
    <row r="10">
      <c r="A10" s="40" t="inlineStr">
        <is>
          <t>mar-23</t>
        </is>
      </c>
      <c r="B10" s="41" t="n">
        <v>799714.3044200365</v>
      </c>
      <c r="C10" s="41" t="n">
        <v>761915.1767629334</v>
      </c>
      <c r="D10" s="41" t="n">
        <v>1561629.48118297</v>
      </c>
      <c r="E10" s="42" t="n">
        <v>0.08106466419133053</v>
      </c>
      <c r="F10" s="42" t="n">
        <v>0.1444908620429325</v>
      </c>
      <c r="G10" s="42" t="n">
        <v>0.1120101498713886</v>
      </c>
      <c r="H10" s="42" t="n">
        <v>0.03519094576240308</v>
      </c>
      <c r="I10" s="42" t="n"/>
      <c r="J10" s="42" t="n"/>
      <c r="K10" s="41" t="n">
        <v>88262.76000000001</v>
      </c>
      <c r="L10" s="41" t="n">
        <v>84090.951</v>
      </c>
      <c r="M10" s="41" t="n">
        <v>172353.711</v>
      </c>
    </row>
    <row r="11">
      <c r="A11" s="39" t="inlineStr">
        <is>
          <t>abr-23</t>
        </is>
      </c>
      <c r="B11" s="28" t="n">
        <v>787289.0999607847</v>
      </c>
      <c r="C11" s="28" t="n">
        <v>734688.9512095812</v>
      </c>
      <c r="D11" s="28" t="n">
        <v>1521978.051170366</v>
      </c>
      <c r="E11" s="29" t="n">
        <v>0.08419146750043605</v>
      </c>
      <c r="F11" s="29" t="n">
        <v>0.1488422113173392</v>
      </c>
      <c r="G11" s="29" t="n">
        <v>0.1153996620819774</v>
      </c>
      <c r="H11" s="29" t="n">
        <v>0.03932009205008634</v>
      </c>
      <c r="I11" s="29" t="n"/>
      <c r="J11" s="29" t="n"/>
      <c r="K11" s="28" t="n">
        <v>94192.633</v>
      </c>
      <c r="L11" s="28" t="n">
        <v>87899.45999999999</v>
      </c>
      <c r="M11" s="28" t="n">
        <v>182092.093</v>
      </c>
    </row>
    <row r="12">
      <c r="A12" s="40" t="inlineStr">
        <is>
          <t>may-23</t>
        </is>
      </c>
      <c r="B12" s="41" t="n">
        <v>787667.1818190408</v>
      </c>
      <c r="C12" s="41" t="n">
        <v>712592.7701748479</v>
      </c>
      <c r="D12" s="41" t="n">
        <v>1500259.951993889</v>
      </c>
      <c r="E12" s="42" t="n">
        <v>0.08514784712787989</v>
      </c>
      <c r="F12" s="42" t="n">
        <v>0.1557468577279519</v>
      </c>
      <c r="G12" s="42" t="n">
        <v>0.1186809321564094</v>
      </c>
      <c r="H12" s="42" t="n">
        <v>0.03812929670352349</v>
      </c>
      <c r="I12" s="42" t="n"/>
      <c r="J12" s="42" t="n"/>
      <c r="K12" s="41" t="n">
        <v>101562.744</v>
      </c>
      <c r="L12" s="41" t="n">
        <v>91882.56</v>
      </c>
      <c r="M12" s="41" t="n">
        <v>193445.304</v>
      </c>
    </row>
    <row r="13">
      <c r="A13" s="39" t="inlineStr">
        <is>
          <t>jun-23</t>
        </is>
      </c>
      <c r="B13" s="28" t="n">
        <v>768552.4482949674</v>
      </c>
      <c r="C13" s="28" t="n">
        <v>693284.5245386418</v>
      </c>
      <c r="D13" s="28" t="n">
        <v>1461836.972833609</v>
      </c>
      <c r="E13" s="29" t="n">
        <v>0.08838721783038767</v>
      </c>
      <c r="F13" s="29" t="n">
        <v>0.1597933663599298</v>
      </c>
      <c r="G13" s="29" t="n">
        <v>0.1222519911617665</v>
      </c>
      <c r="H13" s="29" t="n">
        <v>0.0335755357717356</v>
      </c>
      <c r="I13" s="29" t="n"/>
      <c r="J13" s="29" t="n"/>
      <c r="K13" s="28" t="n">
        <v>104995.227</v>
      </c>
      <c r="L13" s="28" t="n">
        <v>94712.55500000001</v>
      </c>
      <c r="M13" s="28" t="n">
        <v>199707.782</v>
      </c>
    </row>
    <row r="14">
      <c r="A14" s="40" t="inlineStr">
        <is>
          <t>jul-23</t>
        </is>
      </c>
      <c r="B14" s="41" t="n">
        <v>736144.1530974174</v>
      </c>
      <c r="C14" s="41" t="n">
        <v>682483.8966411388</v>
      </c>
      <c r="D14" s="41" t="n">
        <v>1418628.049738556</v>
      </c>
      <c r="E14" s="42" t="n">
        <v>0.09270633459408768</v>
      </c>
      <c r="F14" s="42" t="n">
        <v>0.1597132126978257</v>
      </c>
      <c r="G14" s="42" t="n">
        <v>0.124942490701691</v>
      </c>
      <c r="H14" s="42" t="n">
        <v>0.03412875604958446</v>
      </c>
      <c r="I14" s="42" t="n"/>
      <c r="J14" s="42" t="n"/>
      <c r="K14" s="41" t="n">
        <v>106948.668</v>
      </c>
      <c r="L14" s="41" t="n">
        <v>99152.78600000001</v>
      </c>
      <c r="M14" s="41" t="n">
        <v>206101.454</v>
      </c>
    </row>
    <row r="15">
      <c r="A15" s="39" t="inlineStr">
        <is>
          <t>ago-23</t>
        </is>
      </c>
      <c r="B15" s="28" t="n">
        <v>697792.67113642</v>
      </c>
      <c r="C15" s="28" t="n">
        <v>627443.8643806991</v>
      </c>
      <c r="D15" s="28" t="n">
        <v>1325236.535517119</v>
      </c>
      <c r="E15" s="29" t="n">
        <v>0.08508826266007975</v>
      </c>
      <c r="F15" s="29" t="n">
        <v>0.1595965052987185</v>
      </c>
      <c r="G15" s="29" t="n">
        <v>0.120364787594672</v>
      </c>
      <c r="H15" s="29" t="n">
        <v>0.03188816250727926</v>
      </c>
      <c r="I15" s="29" t="n"/>
      <c r="J15" s="29" t="n"/>
      <c r="K15" s="28" t="n">
        <v>113989.823</v>
      </c>
      <c r="L15" s="28" t="n">
        <v>102497.802</v>
      </c>
      <c r="M15" s="28" t="n">
        <v>216487.625</v>
      </c>
    </row>
    <row r="16">
      <c r="A16" s="40" t="inlineStr">
        <is>
          <t>sep-23</t>
        </is>
      </c>
      <c r="B16" s="41" t="n">
        <v>647779.4763168703</v>
      </c>
      <c r="C16" s="41" t="n">
        <v>582748.7285536368</v>
      </c>
      <c r="D16" s="41" t="n">
        <v>1230528.204870507</v>
      </c>
      <c r="E16" s="42" t="n">
        <v>0.08832188477595614</v>
      </c>
      <c r="F16" s="42" t="n">
        <v>0.170519063687874</v>
      </c>
      <c r="G16" s="42" t="n">
        <v>0.1272485028835489</v>
      </c>
      <c r="H16" s="42" t="n">
        <v>0.03089007174737726</v>
      </c>
      <c r="I16" s="42" t="n">
        <v>0.04367165205944758</v>
      </c>
      <c r="J16" s="42" t="n">
        <v>0.03694312249930944</v>
      </c>
      <c r="K16" s="41" t="n">
        <v>119311.539</v>
      </c>
      <c r="L16" s="41" t="n">
        <v>107333.823</v>
      </c>
      <c r="M16" s="41" t="n">
        <v>226645.362</v>
      </c>
    </row>
    <row r="17">
      <c r="A17" s="39" t="inlineStr">
        <is>
          <t>oct-23</t>
        </is>
      </c>
      <c r="B17" s="28" t="n">
        <v>658864.3825490507</v>
      </c>
      <c r="C17" s="28" t="n">
        <v>540066.8300661049</v>
      </c>
      <c r="D17" s="28" t="n">
        <v>1198931.212615156</v>
      </c>
      <c r="E17" s="29" t="n">
        <v>0.08604293259610639</v>
      </c>
      <c r="F17" s="29" t="n">
        <v>0.1791254207192916</v>
      </c>
      <c r="G17" s="29" t="n">
        <v>0.1279725810750228</v>
      </c>
      <c r="H17" s="29" t="n">
        <v>0.03425307514260032</v>
      </c>
      <c r="I17" s="29" t="n">
        <v>0.04049084271883057</v>
      </c>
      <c r="J17" s="29" t="n">
        <v>0.03706292055002417</v>
      </c>
      <c r="K17" s="28" t="n">
        <v>131427.645</v>
      </c>
      <c r="L17" s="28" t="n">
        <v>107730.382</v>
      </c>
      <c r="M17" s="28" t="n">
        <v>239158.027</v>
      </c>
    </row>
    <row r="18">
      <c r="A18" s="40" t="inlineStr">
        <is>
          <t>nov-23</t>
        </is>
      </c>
      <c r="B18" s="41" t="n">
        <v>648736.6768238491</v>
      </c>
      <c r="C18" s="41" t="n">
        <v>490215.029244386</v>
      </c>
      <c r="D18" s="41" t="n">
        <v>1138951.706068235</v>
      </c>
      <c r="E18" s="42" t="n">
        <v>0.08387073356030901</v>
      </c>
      <c r="F18" s="42" t="n">
        <v>0.1837472557573628</v>
      </c>
      <c r="G18" s="42" t="n">
        <v>0.1268584844796821</v>
      </c>
      <c r="H18" s="42" t="n">
        <v>0.03283661400288179</v>
      </c>
      <c r="I18" s="42" t="n">
        <v>0.03741342303113179</v>
      </c>
      <c r="J18" s="42" t="n">
        <v>0.0348065136568142</v>
      </c>
      <c r="K18" s="41" t="n">
        <v>145985.393</v>
      </c>
      <c r="L18" s="41" t="n">
        <v>110313.223</v>
      </c>
      <c r="M18" s="41" t="n">
        <v>256298.616</v>
      </c>
    </row>
    <row r="19">
      <c r="A19" s="39" t="inlineStr">
        <is>
          <t>dic-23</t>
        </is>
      </c>
      <c r="B19" s="28" t="n">
        <v>569056.0859015123</v>
      </c>
      <c r="C19" s="28" t="n">
        <v>406394.2006369312</v>
      </c>
      <c r="D19" s="28" t="n">
        <v>975450.2865384435</v>
      </c>
      <c r="E19" s="29" t="n">
        <v>0.08183801016026658</v>
      </c>
      <c r="F19" s="29" t="n">
        <v>0.1872673302462681</v>
      </c>
      <c r="G19" s="29" t="n">
        <v>0.125762200712398</v>
      </c>
      <c r="H19" s="29" t="n">
        <v>0.03273551153640741</v>
      </c>
      <c r="I19" s="29" t="n">
        <v>0.03551233412267348</v>
      </c>
      <c r="J19" s="29" t="n">
        <v>0.03389239734681687</v>
      </c>
      <c r="K19" s="28" t="n">
        <v>160664.879</v>
      </c>
      <c r="L19" s="28" t="n">
        <v>114739.613</v>
      </c>
      <c r="M19" s="28" t="n">
        <v>275404.492</v>
      </c>
    </row>
    <row r="20">
      <c r="A20" s="40" t="inlineStr">
        <is>
          <t>ene-24</t>
        </is>
      </c>
      <c r="B20" s="41" t="n">
        <v>524470.4650707092</v>
      </c>
      <c r="C20" s="41" t="n">
        <v>334904.5142001833</v>
      </c>
      <c r="D20" s="41" t="n">
        <v>859374.9792708926</v>
      </c>
      <c r="E20" s="42" t="n">
        <v>0.08093367309539104</v>
      </c>
      <c r="F20" s="42" t="n">
        <v>0.1979051990345801</v>
      </c>
      <c r="G20" s="42" t="n">
        <v>0.126518304967213</v>
      </c>
      <c r="H20" s="42" t="n">
        <v>0.03848858941344124</v>
      </c>
      <c r="I20" s="42" t="n">
        <v>0.03752371766344473</v>
      </c>
      <c r="J20" s="42" t="n">
        <v>0.03811257206072262</v>
      </c>
      <c r="K20" s="41" t="n">
        <v>178600.284</v>
      </c>
      <c r="L20" s="41" t="n">
        <v>114046.539</v>
      </c>
      <c r="M20" s="41" t="n">
        <v>292646.823</v>
      </c>
    </row>
    <row r="21">
      <c r="A21" s="39" t="inlineStr">
        <is>
          <t>feb-24</t>
        </is>
      </c>
      <c r="B21" s="28" t="n">
        <v>541267.0062301781</v>
      </c>
      <c r="C21" s="28" t="n">
        <v>308131.0719288636</v>
      </c>
      <c r="D21" s="28" t="n">
        <v>849398.0781590417</v>
      </c>
      <c r="E21" s="29" t="n">
        <v>0.07704697455907192</v>
      </c>
      <c r="F21" s="29" t="n">
        <v>0.2014534498035553</v>
      </c>
      <c r="G21" s="29" t="n">
        <v>0.1221771691729532</v>
      </c>
      <c r="H21" s="29" t="n">
        <v>0.04519435726966056</v>
      </c>
      <c r="I21" s="29" t="n">
        <v>0.04046476329493386</v>
      </c>
      <c r="J21" s="29" t="n">
        <v>0.04347863068786817</v>
      </c>
      <c r="K21" s="28" t="n">
        <v>208726.898</v>
      </c>
      <c r="L21" s="28" t="n">
        <v>118823.505</v>
      </c>
      <c r="M21" s="28" t="n">
        <v>327550.403</v>
      </c>
    </row>
    <row r="22">
      <c r="A22" s="40" t="inlineStr">
        <is>
          <t>mar-24</t>
        </is>
      </c>
      <c r="B22" s="41" t="n">
        <v>544814.4422202498</v>
      </c>
      <c r="C22" s="41" t="n">
        <v>331922.5885012532</v>
      </c>
      <c r="D22" s="41" t="n">
        <v>876737.030721503</v>
      </c>
      <c r="E22" s="42" t="n">
        <v>0.08216609490292021</v>
      </c>
      <c r="F22" s="42" t="n">
        <v>0.1970350190409826</v>
      </c>
      <c r="G22" s="42" t="n">
        <v>0.1256541526696636</v>
      </c>
      <c r="H22" s="42" t="n">
        <v>0.0574529822399504</v>
      </c>
      <c r="I22" s="42" t="n"/>
      <c r="J22" s="42" t="n"/>
      <c r="K22" s="41" t="n">
        <v>233225.7</v>
      </c>
      <c r="L22" s="41" t="n">
        <v>142090.356</v>
      </c>
      <c r="M22" s="41" t="n">
        <v>375316.056</v>
      </c>
    </row>
    <row r="23">
      <c r="A23" s="39" t="inlineStr">
        <is>
          <t>abr-24</t>
        </is>
      </c>
      <c r="B23" s="28" t="n">
        <v>586187.8693352279</v>
      </c>
      <c r="C23" s="28" t="n">
        <v>345890.2608614694</v>
      </c>
      <c r="D23" s="28" t="n">
        <v>932078.1301966973</v>
      </c>
      <c r="E23" s="29" t="n">
        <v>0.08221215163970308</v>
      </c>
      <c r="F23" s="29" t="n">
        <v>0.1872898181650497</v>
      </c>
      <c r="G23" s="29" t="n">
        <v>0.1212060302724918</v>
      </c>
      <c r="H23" s="29" t="n">
        <v>0.05704795379600577</v>
      </c>
      <c r="I23" s="29" t="n"/>
      <c r="J23" s="29" t="n"/>
      <c r="K23" s="28" t="n">
        <v>273099.506</v>
      </c>
      <c r="L23" s="28" t="n">
        <v>161147.073</v>
      </c>
      <c r="M23" s="28" t="n">
        <v>434246.579</v>
      </c>
    </row>
    <row r="24">
      <c r="A24" s="40" t="inlineStr">
        <is>
          <t>may-24</t>
        </is>
      </c>
      <c r="B24" s="41" t="n">
        <v>619388.1015990471</v>
      </c>
      <c r="C24" s="41" t="n">
        <v>367492.7245687875</v>
      </c>
      <c r="D24" s="41" t="n">
        <v>986880.8261678346</v>
      </c>
      <c r="E24" s="42" t="n">
        <v>0.09309335078986553</v>
      </c>
      <c r="F24" s="42" t="n">
        <v>0.1806196935215051</v>
      </c>
      <c r="G24" s="42" t="n">
        <v>0.1256862366876421</v>
      </c>
      <c r="H24" s="42" t="n">
        <v>0.05207296170222597</v>
      </c>
      <c r="I24" s="42" t="n"/>
      <c r="J24" s="42" t="n"/>
      <c r="K24" s="41" t="n">
        <v>300618.699</v>
      </c>
      <c r="L24" s="41" t="n">
        <v>178361.813</v>
      </c>
      <c r="M24" s="41" t="n">
        <v>478980.512</v>
      </c>
    </row>
    <row r="25">
      <c r="A25" s="39" t="inlineStr">
        <is>
          <t>jun-24</t>
        </is>
      </c>
      <c r="B25" s="28" t="n">
        <v>634113.8474781511</v>
      </c>
      <c r="C25" s="28" t="n">
        <v>399371.3865104725</v>
      </c>
      <c r="D25" s="28" t="n">
        <v>1033485.233988623</v>
      </c>
      <c r="E25" s="29" t="n">
        <v>0.09801989950351535</v>
      </c>
      <c r="F25" s="29" t="n">
        <v>0.1704179096534337</v>
      </c>
      <c r="G25" s="29" t="n">
        <v>0.1259967807818118</v>
      </c>
      <c r="H25" s="29" t="n">
        <v>0.05133372108036636</v>
      </c>
      <c r="I25" s="29" t="n"/>
      <c r="J25" s="29" t="n"/>
      <c r="K25" s="28" t="n">
        <v>321852.452</v>
      </c>
      <c r="L25" s="28" t="n">
        <v>202705.966</v>
      </c>
      <c r="M25" s="28" t="n">
        <v>524558.4179999999</v>
      </c>
    </row>
    <row r="26">
      <c r="A26" s="40" t="inlineStr">
        <is>
          <t>jul-24</t>
        </is>
      </c>
      <c r="B26" s="41" t="n">
        <v>650825.6696622093</v>
      </c>
      <c r="C26" s="41" t="n">
        <v>453519.4821075861</v>
      </c>
      <c r="D26" s="41" t="n">
        <v>1104345.151769795</v>
      </c>
      <c r="E26" s="42" t="n">
        <v>0.1017645314471727</v>
      </c>
      <c r="F26" s="42" t="n">
        <v>0.1467815412176958</v>
      </c>
      <c r="G26" s="42" t="n">
        <v>0.1202515877125454</v>
      </c>
      <c r="H26" s="42" t="n">
        <v>0.04098831020446418</v>
      </c>
      <c r="I26" s="42" t="n"/>
      <c r="J26" s="42" t="n"/>
      <c r="K26" s="41" t="n">
        <v>343650.322</v>
      </c>
      <c r="L26" s="41" t="n">
        <v>239468.299</v>
      </c>
      <c r="M26" s="41" t="n">
        <v>583118.621</v>
      </c>
    </row>
    <row r="27">
      <c r="A27" s="39" t="inlineStr">
        <is>
          <t>ago-24</t>
        </is>
      </c>
      <c r="B27" s="28" t="n">
        <v>682266.0417309033</v>
      </c>
      <c r="C27" s="28" t="n">
        <v>491277.5076145674</v>
      </c>
      <c r="D27" s="28" t="n">
        <v>1173543.549345471</v>
      </c>
      <c r="E27" s="29" t="n">
        <v>0.1027280187282845</v>
      </c>
      <c r="F27" s="29" t="n">
        <v>0.1348325321353722</v>
      </c>
      <c r="G27" s="29" t="n">
        <v>0.1161678483269468</v>
      </c>
      <c r="H27" s="29" t="n">
        <v>0.03184682260358991</v>
      </c>
      <c r="I27" s="29" t="n"/>
      <c r="J27" s="29" t="n"/>
      <c r="K27" s="28" t="n">
        <v>375282.211</v>
      </c>
      <c r="L27" s="28" t="n">
        <v>270228.471</v>
      </c>
      <c r="M27" s="28" t="n">
        <v>645510.682</v>
      </c>
    </row>
    <row r="28">
      <c r="A28" s="40" t="inlineStr">
        <is>
          <t>sep-24</t>
        </is>
      </c>
      <c r="B28" s="41" t="n">
        <v>714720.9282276569</v>
      </c>
      <c r="C28" s="41" t="n">
        <v>539807.3283999887</v>
      </c>
      <c r="D28" s="41" t="n">
        <v>1254528.256627645</v>
      </c>
      <c r="E28" s="42" t="n">
        <v>0.09695471338190391</v>
      </c>
      <c r="F28" s="42" t="n">
        <v>0.1267354470876332</v>
      </c>
      <c r="G28" s="42" t="n">
        <v>0.1097689789949364</v>
      </c>
      <c r="H28" s="42" t="n">
        <v>0.03638162375804794</v>
      </c>
      <c r="I28" s="42" t="n"/>
      <c r="J28" s="42" t="n"/>
      <c r="K28" s="41" t="n">
        <v>406772.746</v>
      </c>
      <c r="L28" s="41" t="n">
        <v>307223.282</v>
      </c>
      <c r="M28" s="41" t="n">
        <v>713996.0279999999</v>
      </c>
    </row>
    <row r="29">
      <c r="A29" s="39" t="inlineStr">
        <is>
          <t>oct-24</t>
        </is>
      </c>
      <c r="B29" s="28" t="n">
        <v>767813.7983389208</v>
      </c>
      <c r="C29" s="28" t="n">
        <v>609970.1456992076</v>
      </c>
      <c r="D29" s="28" t="n">
        <v>1377783.944038128</v>
      </c>
      <c r="E29" s="29" t="n">
        <v>0.09364162480876424</v>
      </c>
      <c r="F29" s="29" t="n">
        <v>0.116836459507048</v>
      </c>
      <c r="G29" s="29" t="n">
        <v>0.1039104022622992</v>
      </c>
      <c r="H29" s="29" t="n">
        <v>0.04266743276102513</v>
      </c>
      <c r="I29" s="29" t="n"/>
      <c r="J29" s="29" t="n"/>
      <c r="K29" s="28" t="n">
        <v>448752.38</v>
      </c>
      <c r="L29" s="28" t="n">
        <v>356499.916</v>
      </c>
      <c r="M29" s="28" t="n">
        <v>805252.296</v>
      </c>
    </row>
    <row r="30">
      <c r="A30" s="40" t="inlineStr">
        <is>
          <t>nov-24</t>
        </is>
      </c>
      <c r="B30" s="41" t="n">
        <v>816278.4935337374</v>
      </c>
      <c r="C30" s="41" t="n">
        <v>678798.4844716875</v>
      </c>
      <c r="D30" s="41" t="n">
        <v>1495076.978005425</v>
      </c>
      <c r="E30" s="42" t="n">
        <v>0.0973437607255643</v>
      </c>
      <c r="F30" s="42" t="n">
        <v>0.1191599248973611</v>
      </c>
      <c r="G30" s="42" t="n">
        <v>0.1072487886235643</v>
      </c>
      <c r="H30" s="42" t="n">
        <v>0.04322738273168663</v>
      </c>
      <c r="I30" s="42" t="n"/>
      <c r="J30" s="42" t="n"/>
      <c r="K30" s="41" t="n">
        <v>488654.359</v>
      </c>
      <c r="L30" s="41" t="n">
        <v>406353.764</v>
      </c>
      <c r="M30" s="41" t="n">
        <v>895008.123</v>
      </c>
    </row>
    <row r="31">
      <c r="A31" s="39" t="inlineStr">
        <is>
          <t>dic-24</t>
        </is>
      </c>
      <c r="B31" s="28" t="n">
        <v>879068.2110969668</v>
      </c>
      <c r="C31" s="28" t="n">
        <v>777721.7195850528</v>
      </c>
      <c r="D31" s="28" t="n">
        <v>1656789.93068202</v>
      </c>
      <c r="E31" s="29" t="n">
        <v>0.09840724197260765</v>
      </c>
      <c r="F31" s="29" t="n">
        <v>0.1139786141583282</v>
      </c>
      <c r="G31" s="29" t="n">
        <v>0.1057166745858251</v>
      </c>
      <c r="H31" s="29" t="n">
        <v>0.04764992931382665</v>
      </c>
      <c r="I31" s="29" t="n"/>
      <c r="J31" s="29" t="n"/>
      <c r="K31" s="28" t="n">
        <v>540472.743</v>
      </c>
      <c r="L31" s="28" t="n">
        <v>478162.4289999999</v>
      </c>
      <c r="M31" s="28" t="n">
        <v>1018635.172</v>
      </c>
    </row>
    <row r="32">
      <c r="A32" s="40" t="inlineStr">
        <is>
          <t>ene-25</t>
        </is>
      </c>
      <c r="B32" s="41" t="n">
        <v>977153.0364855626</v>
      </c>
      <c r="C32" s="41" t="n">
        <v>846686.4541549857</v>
      </c>
      <c r="D32" s="41" t="n">
        <v>1823839.490640548</v>
      </c>
      <c r="E32" s="42" t="n">
        <v>0.09768343639396405</v>
      </c>
      <c r="F32" s="42" t="n">
        <v>0.1259850322762235</v>
      </c>
      <c r="G32" s="42" t="n">
        <v>0.110821970781144</v>
      </c>
      <c r="H32" s="42" t="n">
        <v>0.04737257551604124</v>
      </c>
      <c r="I32" s="42" t="n"/>
      <c r="J32" s="42" t="n"/>
      <c r="K32" s="41" t="n">
        <v>614061.188</v>
      </c>
      <c r="L32" s="41" t="n">
        <v>532073.5550000001</v>
      </c>
      <c r="M32" s="41" t="n">
        <v>1146134.743</v>
      </c>
    </row>
    <row r="33">
      <c r="A33" s="39" t="inlineStr">
        <is>
          <t>feb-25</t>
        </is>
      </c>
      <c r="B33" s="28" t="n">
        <v>962554.7699542191</v>
      </c>
      <c r="C33" s="28" t="n">
        <v>883221.0859756562</v>
      </c>
      <c r="D33" s="28" t="n">
        <v>1845775.855929875</v>
      </c>
      <c r="E33" s="29" t="n">
        <v>0.1114928732392328</v>
      </c>
      <c r="F33" s="29" t="n">
        <v>0.1386164092828278</v>
      </c>
      <c r="G33" s="29" t="n">
        <v>0.124471740030106</v>
      </c>
      <c r="H33" s="29" t="n">
        <v>0.05252054429606787</v>
      </c>
      <c r="I33" s="29" t="n"/>
      <c r="J33" s="29" t="n"/>
      <c r="K33" s="28" t="n">
        <v>619414.5060000001</v>
      </c>
      <c r="L33" s="28" t="n">
        <v>568362.414</v>
      </c>
      <c r="M33" s="28" t="n">
        <v>1187776.92</v>
      </c>
    </row>
    <row r="34">
      <c r="A34" s="40" t="inlineStr">
        <is>
          <t>mar-25</t>
        </is>
      </c>
      <c r="B34" s="41" t="n">
        <v>1017601.469074053</v>
      </c>
      <c r="C34" s="41" t="n">
        <v>899533.1836870131</v>
      </c>
      <c r="D34" s="41" t="n">
        <v>1917134.652761066</v>
      </c>
      <c r="E34" s="42" t="n">
        <v>0.1170430855693799</v>
      </c>
      <c r="F34" s="42" t="n">
        <v>0.1547030319590086</v>
      </c>
      <c r="G34" s="42" t="n">
        <v>0.1347133996626315</v>
      </c>
      <c r="H34" s="42" t="n">
        <v>0.06882483000771061</v>
      </c>
      <c r="I34" s="42" t="n">
        <v>0.09155426990899494</v>
      </c>
      <c r="J34" s="42" t="n">
        <v>0.07948964450489718</v>
      </c>
      <c r="K34" s="41" t="n">
        <v>679258.75</v>
      </c>
      <c r="L34" s="41" t="n">
        <v>600447.036</v>
      </c>
      <c r="M34" s="41" t="n">
        <v>1279705.786</v>
      </c>
    </row>
    <row r="35">
      <c r="A35" s="39" t="inlineStr">
        <is>
          <t>abr-25</t>
        </is>
      </c>
      <c r="B35" s="28" t="n">
        <v>1064533.95823651</v>
      </c>
      <c r="C35" s="28" t="n">
        <v>909348.5880720337</v>
      </c>
      <c r="D35" s="28" t="n">
        <v>1973882.546308544</v>
      </c>
      <c r="E35" s="29" t="n">
        <v>0.1252490862612497</v>
      </c>
      <c r="F35" s="29" t="n">
        <v>0.1774186465226094</v>
      </c>
      <c r="G35" s="29" t="n">
        <v>0.1492830978354069</v>
      </c>
      <c r="H35" s="29" t="n">
        <v>0.07495635173414888</v>
      </c>
      <c r="I35" s="29" t="n"/>
      <c r="J35" s="29" t="n"/>
      <c r="K35" s="28" t="n">
        <v>730346.885</v>
      </c>
      <c r="L35" s="28" t="n">
        <v>623878.556</v>
      </c>
      <c r="M35" s="28" t="n">
        <v>1354225.441</v>
      </c>
    </row>
    <row r="36">
      <c r="A36" s="40" t="inlineStr">
        <is>
          <t>may-25</t>
        </is>
      </c>
      <c r="B36" s="41" t="n">
        <v>1096343.487292347</v>
      </c>
      <c r="C36" s="41" t="n">
        <v>934059.4723915553</v>
      </c>
      <c r="D36" s="41" t="n">
        <v>2030402.959683903</v>
      </c>
      <c r="E36" s="42" t="n">
        <v>0.1382895664823042</v>
      </c>
      <c r="F36" s="42" t="n">
        <v>0.2025618447835745</v>
      </c>
      <c r="G36" s="42" t="n">
        <v>0.1678571604779483</v>
      </c>
      <c r="H36" s="42" t="n">
        <v>0.07778791102665389</v>
      </c>
      <c r="I36" s="42" t="n">
        <v>0.09718092700166149</v>
      </c>
      <c r="J36" s="42" t="n">
        <v>0.08670940623197838</v>
      </c>
      <c r="K36" s="41" t="n">
        <v>763461.407</v>
      </c>
      <c r="L36" s="41" t="n">
        <v>650451.585</v>
      </c>
      <c r="M36" s="41" t="n">
        <v>1413912.992</v>
      </c>
    </row>
    <row r="37">
      <c r="A37" s="39" t="inlineStr">
        <is>
          <t>jun-25</t>
        </is>
      </c>
      <c r="B37" s="28" t="n">
        <v>1126217.680929805</v>
      </c>
      <c r="C37" s="28" t="n">
        <v>955171.1317437963</v>
      </c>
      <c r="D37" s="28" t="n">
        <v>2081388.812673601</v>
      </c>
      <c r="E37" s="29" t="n">
        <v>0.1565998455197799</v>
      </c>
      <c r="F37" s="29" t="n">
        <v>0.2263269749683075</v>
      </c>
      <c r="G37" s="29" t="n">
        <v>0.1885983557179033</v>
      </c>
      <c r="H37" s="29" t="n">
        <v>0.09154507696982102</v>
      </c>
      <c r="I37" s="29" t="n">
        <v>0.09683412564087659</v>
      </c>
      <c r="J37" s="29" t="n">
        <v>0.09397227681552923</v>
      </c>
      <c r="K37" s="28" t="n">
        <v>796961.578</v>
      </c>
      <c r="L37" s="28" t="n">
        <v>675921.454</v>
      </c>
      <c r="M37" s="28" t="n">
        <v>1472883.032</v>
      </c>
    </row>
    <row r="38">
      <c r="A38" s="40" t="inlineStr">
        <is>
          <t>jul-25</t>
        </is>
      </c>
      <c r="B38" s="41" t="n">
        <v>1165545.894588855</v>
      </c>
      <c r="C38" s="41" t="n">
        <v>975500.4021298991</v>
      </c>
      <c r="D38" s="41" t="n">
        <v>2141046.296718754</v>
      </c>
      <c r="E38" s="42" t="n">
        <v>0.1751923578444662</v>
      </c>
      <c r="F38" s="42" t="n">
        <v>0.2505699042673193</v>
      </c>
      <c r="G38" s="42" t="n">
        <v>0.2095357659995106</v>
      </c>
      <c r="H38" s="42" t="n">
        <v>0.08924750806447207</v>
      </c>
      <c r="I38" s="42" t="n">
        <v>0.08963479217072014</v>
      </c>
      <c r="J38" s="42" t="n">
        <v>0.08942396188612109</v>
      </c>
      <c r="K38" s="41" t="n">
        <v>840476.9010000001</v>
      </c>
      <c r="L38" s="41" t="n">
        <v>703434.8100000001</v>
      </c>
      <c r="M38" s="41" t="n">
        <v>1543911.711</v>
      </c>
    </row>
    <row r="39">
      <c r="A39" s="39" t="inlineStr">
        <is>
          <t>ago-25</t>
        </is>
      </c>
      <c r="B39" s="28" t="n">
        <v>1200411.69188095</v>
      </c>
      <c r="C39" s="28" t="n">
        <v>994480.8666819412</v>
      </c>
      <c r="D39" s="28" t="n">
        <v>2194892.558562891</v>
      </c>
      <c r="E39" s="29" t="n">
        <v>0.2006690925361719</v>
      </c>
      <c r="F39" s="29" t="n">
        <v>0.2726261828871773</v>
      </c>
      <c r="G39" s="29" t="n">
        <v>0.2332720321639014</v>
      </c>
      <c r="H39" s="29" t="n">
        <v>0.07686592001807317</v>
      </c>
      <c r="I39" s="29" t="n">
        <v>0.08873659155382331</v>
      </c>
      <c r="J39" s="29" t="n">
        <v>0.0822443863447798</v>
      </c>
      <c r="K39" s="28" t="n">
        <v>881855.899</v>
      </c>
      <c r="L39" s="28" t="n">
        <v>730573.373</v>
      </c>
      <c r="M39" s="28" t="n">
        <v>1612429.272</v>
      </c>
    </row>
    <row r="40">
      <c r="A40" s="40" t="inlineStr">
        <is>
          <t>sep-25</t>
        </is>
      </c>
      <c r="B40" s="41" t="n">
        <v>1222075.324279926</v>
      </c>
      <c r="C40" s="41" t="n">
        <v>991885.9990465364</v>
      </c>
      <c r="D40" s="41" t="n">
        <v>2213961.323326462</v>
      </c>
      <c r="E40" s="42" t="n">
        <v>0.2197459066399716</v>
      </c>
      <c r="F40" s="42" t="n">
        <v>0.296107675659223</v>
      </c>
      <c r="G40" s="42" t="n">
        <v>0.2539570596328428</v>
      </c>
      <c r="H40" s="42" t="n">
        <v>0.08403168523734214</v>
      </c>
      <c r="I40" s="42" t="n">
        <v>0.09296137983784168</v>
      </c>
      <c r="J40" s="42" t="n">
        <v>0.08803231476807352</v>
      </c>
      <c r="K40" s="41" t="n">
        <v>916407.969</v>
      </c>
      <c r="L40" s="41" t="n">
        <v>743793.951</v>
      </c>
      <c r="M40" s="41" t="n">
        <v>1660201.92</v>
      </c>
    </row>
    <row r="41">
      <c r="A41" s="39" t="inlineStr">
        <is>
          <t>oct-25</t>
        </is>
      </c>
      <c r="B41" s="28" t="n">
        <v>1226671.041072333</v>
      </c>
      <c r="C41" s="28" t="n">
        <v>992643.2422482367</v>
      </c>
      <c r="D41" s="28" t="n">
        <v>2219314.28332057</v>
      </c>
      <c r="E41" s="29" t="n">
        <v>0.235224030856451</v>
      </c>
      <c r="F41" s="29" t="n">
        <v>0.3143404058009511</v>
      </c>
      <c r="G41" s="29" t="n">
        <v>0.2706107877164716</v>
      </c>
      <c r="H41" s="29" t="n">
        <v>0.09405300843111131</v>
      </c>
      <c r="I41" s="29" t="n">
        <v>0.09916141656298853</v>
      </c>
      <c r="J41" s="29" t="n">
        <v>0.09633787040350703</v>
      </c>
      <c r="K41" s="28" t="n">
        <v>941396.66</v>
      </c>
      <c r="L41" s="28" t="n">
        <v>761794.321</v>
      </c>
      <c r="M41" s="28" t="n">
        <v>1703190.981</v>
      </c>
    </row>
    <row r="42">
      <c r="A42" s="40" t="inlineStr">
        <is>
          <t>nov-25</t>
        </is>
      </c>
      <c r="B42" s="41" t="n">
        <v>1214437.054011899</v>
      </c>
      <c r="C42" s="41" t="n">
        <v>1001272.573179241</v>
      </c>
      <c r="D42" s="41" t="n">
        <v>2215709.62719114</v>
      </c>
      <c r="E42" s="42" t="n">
        <v>0.2566722703647882</v>
      </c>
      <c r="F42" s="42" t="n">
        <v>0.3517704478679638</v>
      </c>
      <c r="G42" s="42" t="n">
        <v>0.2996468531913161</v>
      </c>
      <c r="H42" s="42" t="n">
        <v>0.1035057088419116</v>
      </c>
      <c r="I42" s="42" t="n">
        <v>0.09995653814092482</v>
      </c>
      <c r="J42" s="42" t="n">
        <v>0.1019018491859267</v>
      </c>
      <c r="K42" s="41" t="n">
        <v>955055.6109999999</v>
      </c>
      <c r="L42" s="41" t="n">
        <v>787419.147</v>
      </c>
      <c r="M42" s="41" t="n">
        <v>1742474.758</v>
      </c>
    </row>
    <row r="43">
      <c r="A43" s="39" t="inlineStr">
        <is>
          <t>dic-25</t>
        </is>
      </c>
      <c r="B43" s="28" t="n">
        <v>1197635.960833963</v>
      </c>
      <c r="C43" s="28" t="n">
        <v>1021658.432487333</v>
      </c>
      <c r="D43" s="28" t="n">
        <v>2219294.393321296</v>
      </c>
      <c r="E43" s="29" t="n">
        <v>0.2812596595715761</v>
      </c>
      <c r="F43" s="29" t="n">
        <v>0.3718951384674594</v>
      </c>
      <c r="G43" s="29" t="n">
        <v>0.3229839578779077</v>
      </c>
      <c r="H43" s="29" t="n">
        <v>0.1018773773354391</v>
      </c>
      <c r="I43" s="29" t="n">
        <v>0.08719424838187441</v>
      </c>
      <c r="J43" s="29" t="n">
        <v>0.09511795751450303</v>
      </c>
      <c r="K43" s="28" t="n">
        <v>968640.915</v>
      </c>
      <c r="L43" s="28" t="n">
        <v>826311.326</v>
      </c>
      <c r="M43" s="28" t="n">
        <v>1794952.241</v>
      </c>
    </row>
    <row r="44">
      <c r="A44" s="40" t="inlineStr">
        <is>
          <t>ene-26</t>
        </is>
      </c>
      <c r="B44" s="41" t="n">
        <v>1173984.576748174</v>
      </c>
      <c r="C44" s="41" t="n">
        <v>1019931.086903076</v>
      </c>
      <c r="D44" s="41" t="n">
        <v>2193915.663651251</v>
      </c>
      <c r="E44" s="42" t="n">
        <v>0.3211417604237494</v>
      </c>
      <c r="F44" s="42" t="n">
        <v>0.3935884583195275</v>
      </c>
      <c r="G44" s="42" t="n">
        <v>0.3548215597668136</v>
      </c>
      <c r="H44" s="42" t="n">
        <v>0.0814938076129765</v>
      </c>
      <c r="I44" s="42" t="n">
        <v>0.07841812026148479</v>
      </c>
      <c r="J44" s="42" t="n">
        <v>0.08006394902936978</v>
      </c>
      <c r="K44" s="41" t="n">
        <v>976873.1310000001</v>
      </c>
      <c r="L44" s="41" t="n">
        <v>848685.1479999999</v>
      </c>
      <c r="M44" s="41" t="n">
        <v>1825558.279</v>
      </c>
    </row>
    <row r="45">
      <c r="A45" s="39" t="inlineStr">
        <is>
          <t>feb-26</t>
        </is>
      </c>
      <c r="B45" s="28" t="n">
        <v>1160275.557466773</v>
      </c>
      <c r="C45" s="28" t="n">
        <v>1000479.511441968</v>
      </c>
      <c r="D45" s="28" t="n">
        <v>2160755.068908742</v>
      </c>
      <c r="E45" s="29" t="n">
        <v>0.3505658459248587</v>
      </c>
      <c r="F45" s="29" t="n">
        <v>0.4184611993291837</v>
      </c>
      <c r="G45" s="29" t="n">
        <v>0.382002962968136</v>
      </c>
      <c r="H45" s="29" t="n">
        <v>0.07454399694731628</v>
      </c>
      <c r="I45" s="29" t="n">
        <v>0.07961140728510846</v>
      </c>
      <c r="J45" s="29" t="n">
        <v>0.07689032499346117</v>
      </c>
      <c r="K45" s="28" t="n">
        <v>993428.821</v>
      </c>
      <c r="L45" s="28" t="n">
        <v>856611.324</v>
      </c>
      <c r="M45" s="28" t="n">
        <v>1850040.145</v>
      </c>
    </row>
    <row r="46">
      <c r="A46" s="40" t="inlineStr">
        <is>
          <t>mar-26</t>
        </is>
      </c>
      <c r="B46" s="41" t="n">
        <v>1151457.159610128</v>
      </c>
      <c r="C46" s="41" t="n">
        <v>979210.582513209</v>
      </c>
      <c r="D46" s="41" t="n">
        <v>2130667.742123337</v>
      </c>
      <c r="E46" s="42" t="n">
        <v>0.365452702708742</v>
      </c>
      <c r="F46" s="42" t="n">
        <v>0.435262600666991</v>
      </c>
      <c r="G46" s="42" t="n">
        <v>0.3975358799650707</v>
      </c>
      <c r="H46" s="42" t="n">
        <v>0.07698108898399358</v>
      </c>
      <c r="I46" s="42" t="n">
        <v>0.08011506205846063</v>
      </c>
      <c r="J46" s="42" t="n">
        <v>0.07842139783138398</v>
      </c>
      <c r="K46" s="41" t="n">
        <v>1019227.047</v>
      </c>
      <c r="L46" s="41" t="n">
        <v>866760.784</v>
      </c>
      <c r="M46" s="41" t="n">
        <v>1885987.831</v>
      </c>
    </row>
    <row r="47">
      <c r="A47" s="39" t="inlineStr">
        <is>
          <t>abr-26</t>
        </is>
      </c>
      <c r="B47" s="28" t="n">
        <v>1178774.756950269</v>
      </c>
      <c r="C47" s="28" t="n">
        <v>972152.4309518329</v>
      </c>
      <c r="D47" s="28" t="n">
        <v>2150927.187902102</v>
      </c>
      <c r="E47" s="29" t="n">
        <v>0.3714112163614484</v>
      </c>
      <c r="F47" s="29" t="n">
        <v>0.4557599912361286</v>
      </c>
      <c r="G47" s="29" t="n">
        <v>0.4095342486070017</v>
      </c>
      <c r="H47" s="29" t="n">
        <v>0.0667367505808671</v>
      </c>
      <c r="I47" s="29" t="n">
        <v>0.07541584429376702</v>
      </c>
      <c r="J47" s="29" t="n">
        <v>0.07065943197097209</v>
      </c>
      <c r="K47" s="28" t="n">
        <v>1070350.225</v>
      </c>
      <c r="L47" s="28" t="n">
        <v>882733.166</v>
      </c>
      <c r="M47" s="28" t="n">
        <v>1953083.391</v>
      </c>
    </row>
    <row r="48">
      <c r="A48" s="40" t="inlineStr">
        <is>
          <t>may-26</t>
        </is>
      </c>
      <c r="B48" s="41" t="n">
        <v>1178324.10569297</v>
      </c>
      <c r="C48" s="41" t="n">
        <v>970565.5187492698</v>
      </c>
      <c r="D48" s="41" t="n">
        <v>2148889.62444224</v>
      </c>
      <c r="E48" s="42" t="n">
        <v>0.388157581778531</v>
      </c>
      <c r="F48" s="42" t="n">
        <v>0.4725505402528556</v>
      </c>
      <c r="G48" s="42" t="n">
        <v>0.4262744280738257</v>
      </c>
      <c r="H48" s="42" t="n">
        <v>0.05648453256583182</v>
      </c>
      <c r="I48" s="42" t="n">
        <v>0.06901810150890936</v>
      </c>
      <c r="J48" s="42" t="n">
        <v>0.06214543283016029</v>
      </c>
      <c r="K48" s="41" t="n">
        <v>1092944.461</v>
      </c>
      <c r="L48" s="41" t="n">
        <v>900239.758</v>
      </c>
      <c r="M48" s="41" t="n">
        <v>1993184.219</v>
      </c>
    </row>
    <row r="49">
      <c r="A49" s="39" t="inlineStr">
        <is>
          <t>jun-26</t>
        </is>
      </c>
      <c r="B49" s="28" t="n">
        <v>1181272.4952047</v>
      </c>
      <c r="C49" s="28" t="n">
        <v>964294.2164885676</v>
      </c>
      <c r="D49" s="28" t="n">
        <v>2145566.711693268</v>
      </c>
      <c r="E49" s="29" t="n">
        <v>0.3940371803791899</v>
      </c>
      <c r="F49" s="29" t="n">
        <v>0.4741528036104706</v>
      </c>
      <c r="G49" s="29" t="n">
        <v>0.4300439993288239</v>
      </c>
      <c r="H49" s="29" t="n">
        <v>0.05329448700420481</v>
      </c>
      <c r="I49" s="29" t="n">
        <v>0.06062156350962453</v>
      </c>
      <c r="J49" s="29" t="n">
        <v>0.05658753655584028</v>
      </c>
      <c r="K49" s="28" t="n">
        <v>1116353.273</v>
      </c>
      <c r="L49" s="28" t="n">
        <v>911299.475</v>
      </c>
      <c r="M49" s="28" t="n">
        <v>2027652.748</v>
      </c>
    </row>
    <row r="50">
      <c r="A50" s="40" t="inlineStr">
        <is>
          <t>jul-26</t>
        </is>
      </c>
      <c r="B50" s="41" t="n">
        <v>1158626.882820427</v>
      </c>
      <c r="C50" s="41" t="n">
        <v>973245.792279438</v>
      </c>
      <c r="D50" s="41" t="n">
        <v>2131872.675099865</v>
      </c>
      <c r="E50" s="42" t="n">
        <v>0.4030359498757773</v>
      </c>
      <c r="F50" s="42" t="n">
        <v>0.4938536891972017</v>
      </c>
      <c r="G50" s="42" t="n">
        <v>0.4444962039009229</v>
      </c>
      <c r="H50" s="42" t="n">
        <v>0.04629015487080337</v>
      </c>
      <c r="I50" s="42" t="n">
        <v>0.05318977961317625</v>
      </c>
      <c r="J50" s="42" t="n">
        <v>0.04943998216924039</v>
      </c>
      <c r="K50" s="41" t="n">
        <v>1118097.577</v>
      </c>
      <c r="L50" s="41" t="n">
        <v>939201.203</v>
      </c>
      <c r="M50" s="41" t="n">
        <v>2057298.78</v>
      </c>
    </row>
    <row r="51">
      <c r="A51" s="39" t="inlineStr">
        <is>
          <t>ago-26</t>
        </is>
      </c>
      <c r="B51" s="28" t="n">
        <v>1160648.260098454</v>
      </c>
      <c r="C51" s="28" t="n">
        <v>980492.6723951604</v>
      </c>
      <c r="D51" s="28" t="n">
        <v>2141140.932493614</v>
      </c>
      <c r="E51" s="29" t="n">
        <v>0.4040550469054098</v>
      </c>
      <c r="F51" s="29" t="n">
        <v>0.5009281828152198</v>
      </c>
      <c r="G51" s="29" t="n">
        <v>0.4484161622668772</v>
      </c>
      <c r="H51" s="29" t="n">
        <v>0.04381464345212899</v>
      </c>
      <c r="I51" s="29" t="n"/>
      <c r="J51" s="29" t="n"/>
      <c r="K51" s="28" t="n">
        <v>1138631.564</v>
      </c>
      <c r="L51" s="28" t="n">
        <v>961893.4034029732</v>
      </c>
      <c r="M51" s="28" t="n">
        <v>2100524.967402973</v>
      </c>
    </row>
    <row r="52">
      <c r="A52" s="36" t="inlineStr">
        <is>
          <t>Mora temprana de electro y conjunta: sin dato en oct-22, nov-22, dic-22, ene-23, feb-23, mar-23, abr-23, may-23, jun-23, jul-23, ago-23, mar-24, abr-24, may-24, jun-24, jul-24, ago-24, sep-24, oct-24, nov-24, dic-24, ene-25, feb-25, abr-25, ago-26 (ver Metodología). Supermercados: BSF, Cencosud, Tarjetas del Mar y Coto. Electro: Megatone, Naldo, Cetrogar, Frávega, Favanet y Carsa. Las tasas del conjunto se ponderan por saldo.</t>
        </is>
      </c>
    </row>
    <row r="54">
      <c r="A54" s="36" t="inlineStr">
        <is>
          <t>Fuente: EcoGo en base a BCRA, Central de Deudores del Sistema Financiero (24DSF); procesamiento EcoGo (PNFC y tabla de hechos mensual). Pesos constantes de sep-26 (IPC INDEC), con el mismo deflactor que "Crédito mensual".</t>
        </is>
      </c>
    </row>
    <row r="55">
      <c r="A55" s="37" t="inlineStr">
        <is>
          <t>www.ecogo.com.ar</t>
        </is>
      </c>
    </row>
  </sheetData>
  <mergeCells count="4">
    <mergeCell ref="A54:M54"/>
    <mergeCell ref="A2:M2"/>
    <mergeCell ref="A52:M52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3C9794"/>
    <outlinePr summaryBelow="1" summaryRight="1"/>
    <pageSetUpPr/>
  </sheetPr>
  <dimension ref="A1:K5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Saldo de financiaciones por entidad</t>
        </is>
      </c>
    </row>
    <row r="2">
      <c r="A2" s="2" t="inlineStr">
        <is>
          <t>Millones de pesos corrientes y pesos constantes de sep-26 (IPC INDEC) · Central de Deudores · último dato: ago-26</t>
        </is>
      </c>
    </row>
    <row r="3">
      <c r="B3" s="17" t="inlineStr">
        <is>
          <t>Pesos corrientes ($ millones)</t>
        </is>
      </c>
      <c r="G3" s="17" t="inlineStr">
        <is>
          <t>Pesos constantes de sep-26 ($ millones)</t>
        </is>
      </c>
    </row>
    <row r="4" ht="44" customHeight="1">
      <c r="A4" s="3" t="inlineStr">
        <is>
          <t>Mes</t>
        </is>
      </c>
      <c r="B4" s="3" t="inlineStr">
        <is>
          <t>BSF (Carrefour Banco)</t>
        </is>
      </c>
      <c r="C4" s="3" t="inlineStr">
        <is>
          <t>Cencosud S.A. (Tarjeta Cencosud)</t>
        </is>
      </c>
      <c r="D4" s="3" t="inlineStr">
        <is>
          <t>Tarjetas del Mar S.A. (Tarjeta La Anónima)</t>
        </is>
      </c>
      <c r="E4" s="3" t="inlineStr">
        <is>
          <t>Coto CIC (Tarjeta TCI)</t>
        </is>
      </c>
      <c r="F4" s="3" t="inlineStr">
        <is>
          <t>Total</t>
        </is>
      </c>
      <c r="G4" s="3" t="inlineStr">
        <is>
          <t>BSF (Carrefour Banco)</t>
        </is>
      </c>
      <c r="H4" s="3" t="inlineStr">
        <is>
          <t>Cencosud S.A. (Tarjeta Cencosud)</t>
        </is>
      </c>
      <c r="I4" s="3" t="inlineStr">
        <is>
          <t>Tarjetas del Mar S.A. (Tarjeta La Anónima)</t>
        </is>
      </c>
      <c r="J4" s="3" t="inlineStr">
        <is>
          <t>Coto CIC (Tarjeta TCI)</t>
        </is>
      </c>
      <c r="K4" s="3" t="inlineStr">
        <is>
          <t>Total</t>
        </is>
      </c>
    </row>
    <row r="5">
      <c r="A5" s="18" t="inlineStr">
        <is>
          <t>oct-22</t>
        </is>
      </c>
      <c r="B5" s="6" t="n">
        <v>13520.455</v>
      </c>
      <c r="C5" s="6" t="n">
        <v>43656.895</v>
      </c>
      <c r="D5" s="6" t="n">
        <v>6459.05</v>
      </c>
      <c r="E5" s="6" t="n">
        <v>1277.778</v>
      </c>
      <c r="F5" s="6" t="n">
        <v>64914.17800000001</v>
      </c>
      <c r="G5" s="6" t="n">
        <v>164475.5768456819</v>
      </c>
      <c r="H5" s="6" t="n">
        <v>531083.6793892191</v>
      </c>
      <c r="I5" s="6" t="n">
        <v>78573.98102542417</v>
      </c>
      <c r="J5" s="6" t="n">
        <v>15544.09771200168</v>
      </c>
      <c r="K5" s="6" t="n">
        <v>789677.3349723269</v>
      </c>
    </row>
    <row r="6">
      <c r="A6" s="19" t="inlineStr">
        <is>
          <t>nov-22</t>
        </is>
      </c>
      <c r="B6" s="20" t="n">
        <v>14858.471</v>
      </c>
      <c r="C6" s="20" t="n">
        <v>46223.155</v>
      </c>
      <c r="D6" s="20" t="n">
        <v>6974.456</v>
      </c>
      <c r="E6" s="20" t="n">
        <v>1392.098</v>
      </c>
      <c r="F6" s="20" t="n">
        <v>69448.17999999999</v>
      </c>
      <c r="G6" s="20" t="n">
        <v>172282.791045007</v>
      </c>
      <c r="H6" s="20" t="n">
        <v>535953.8107458007</v>
      </c>
      <c r="I6" s="20" t="n">
        <v>80868.26334288334</v>
      </c>
      <c r="J6" s="20" t="n">
        <v>16141.26573643897</v>
      </c>
      <c r="K6" s="20" t="n">
        <v>805246.1308701299</v>
      </c>
    </row>
    <row r="7">
      <c r="A7" s="18" t="inlineStr">
        <is>
          <t>dic-22</t>
        </is>
      </c>
      <c r="B7" s="6" t="n">
        <v>15570.966</v>
      </c>
      <c r="C7" s="6" t="n">
        <v>50336.774</v>
      </c>
      <c r="D7" s="6" t="n">
        <v>7233.544</v>
      </c>
      <c r="E7" s="6" t="n">
        <v>1464.536</v>
      </c>
      <c r="F7" s="6" t="n">
        <v>74605.81999999998</v>
      </c>
      <c r="G7" s="6" t="n">
        <v>171742.9608784451</v>
      </c>
      <c r="H7" s="6" t="n">
        <v>555199.1191701998</v>
      </c>
      <c r="I7" s="6" t="n">
        <v>79783.76320419111</v>
      </c>
      <c r="J7" s="6" t="n">
        <v>16153.38116807104</v>
      </c>
      <c r="K7" s="6" t="n">
        <v>822879.2244209071</v>
      </c>
    </row>
    <row r="8">
      <c r="A8" s="19" t="inlineStr">
        <is>
          <t>ene-23</t>
        </is>
      </c>
      <c r="B8" s="20" t="n">
        <v>16431.334</v>
      </c>
      <c r="C8" s="20" t="n">
        <v>50169.543</v>
      </c>
      <c r="D8" s="20" t="n">
        <v>7809.204000000001</v>
      </c>
      <c r="E8" s="20" t="n">
        <v>1444.886</v>
      </c>
      <c r="F8" s="20" t="n">
        <v>75854.96699999999</v>
      </c>
      <c r="G8" s="20" t="n">
        <v>170929.1612914001</v>
      </c>
      <c r="H8" s="20" t="n">
        <v>521895.4168519021</v>
      </c>
      <c r="I8" s="20" t="n">
        <v>81236.29463520412</v>
      </c>
      <c r="J8" s="20" t="n">
        <v>15030.62089430389</v>
      </c>
      <c r="K8" s="20" t="n">
        <v>789091.4936728103</v>
      </c>
    </row>
    <row r="9">
      <c r="A9" s="18" t="inlineStr">
        <is>
          <t>feb-23</t>
        </is>
      </c>
      <c r="B9" s="6" t="n">
        <v>17947.509</v>
      </c>
      <c r="C9" s="6" t="n">
        <v>53753.28</v>
      </c>
      <c r="D9" s="6" t="n">
        <v>8375.063</v>
      </c>
      <c r="E9" s="6" t="n">
        <v>1511.748</v>
      </c>
      <c r="F9" s="6" t="n">
        <v>81587.60000000001</v>
      </c>
      <c r="G9" s="6" t="n">
        <v>175096.4689580492</v>
      </c>
      <c r="H9" s="6" t="n">
        <v>524418.7103019882</v>
      </c>
      <c r="I9" s="6" t="n">
        <v>81707.38115251572</v>
      </c>
      <c r="J9" s="6" t="n">
        <v>14748.66159723853</v>
      </c>
      <c r="K9" s="6" t="n">
        <v>795971.2220097916</v>
      </c>
    </row>
    <row r="10">
      <c r="A10" s="19" t="inlineStr">
        <is>
          <t>mar-23</t>
        </is>
      </c>
      <c r="B10" s="20" t="n">
        <v>19127.005</v>
      </c>
      <c r="C10" s="20" t="n">
        <v>58622.084</v>
      </c>
      <c r="D10" s="20" t="n">
        <v>8988.812</v>
      </c>
      <c r="E10" s="20" t="n">
        <v>1524.859</v>
      </c>
      <c r="F10" s="20" t="n">
        <v>88262.75999999999</v>
      </c>
      <c r="G10" s="20" t="n">
        <v>173302.3021171506</v>
      </c>
      <c r="H10" s="20" t="n">
        <v>531151.7465544125</v>
      </c>
      <c r="I10" s="20" t="n">
        <v>81444.10548845828</v>
      </c>
      <c r="J10" s="20" t="n">
        <v>13816.15026001489</v>
      </c>
      <c r="K10" s="20" t="n">
        <v>799714.3044200364</v>
      </c>
    </row>
    <row r="11">
      <c r="A11" s="18" t="inlineStr">
        <is>
          <t>abr-23</t>
        </is>
      </c>
      <c r="B11" s="6" t="n">
        <v>20753.709</v>
      </c>
      <c r="C11" s="6" t="n">
        <v>61985.032</v>
      </c>
      <c r="D11" s="6" t="n">
        <v>9871.557999999999</v>
      </c>
      <c r="E11" s="6" t="n">
        <v>1582.334</v>
      </c>
      <c r="F11" s="6" t="n">
        <v>94192.633</v>
      </c>
      <c r="G11" s="6" t="n">
        <v>173465.4649632529</v>
      </c>
      <c r="H11" s="6" t="n">
        <v>518088.7135230675</v>
      </c>
      <c r="I11" s="6" t="n">
        <v>82509.31909962304</v>
      </c>
      <c r="J11" s="6" t="n">
        <v>13225.60237484123</v>
      </c>
      <c r="K11" s="6" t="n">
        <v>787289.0999607847</v>
      </c>
    </row>
    <row r="12">
      <c r="A12" s="19" t="inlineStr">
        <is>
          <t>may-23</t>
        </is>
      </c>
      <c r="B12" s="20" t="n">
        <v>22812.33</v>
      </c>
      <c r="C12" s="20" t="n">
        <v>65566.06700000001</v>
      </c>
      <c r="D12" s="20" t="n">
        <v>11493.191</v>
      </c>
      <c r="E12" s="20" t="n">
        <v>1691.156</v>
      </c>
      <c r="F12" s="20" t="n">
        <v>101562.744</v>
      </c>
      <c r="G12" s="20" t="n">
        <v>176920.4235150043</v>
      </c>
      <c r="H12" s="20" t="n">
        <v>508495.902954812</v>
      </c>
      <c r="I12" s="20" t="n">
        <v>89135.13960471531</v>
      </c>
      <c r="J12" s="20" t="n">
        <v>13115.71574450924</v>
      </c>
      <c r="K12" s="20" t="n">
        <v>787667.1818190408</v>
      </c>
    </row>
    <row r="13">
      <c r="A13" s="18" t="inlineStr">
        <is>
          <t>jun-23</t>
        </is>
      </c>
      <c r="B13" s="6" t="n">
        <v>23559.838</v>
      </c>
      <c r="C13" s="6" t="n">
        <v>67742.781</v>
      </c>
      <c r="D13" s="6" t="n">
        <v>12003.876</v>
      </c>
      <c r="E13" s="6" t="n">
        <v>1688.732</v>
      </c>
      <c r="F13" s="6" t="n">
        <v>104995.227</v>
      </c>
      <c r="G13" s="6" t="n">
        <v>172455.1838564319</v>
      </c>
      <c r="H13" s="6" t="n">
        <v>495869.0188065387</v>
      </c>
      <c r="I13" s="6" t="n">
        <v>87866.93026368902</v>
      </c>
      <c r="J13" s="6" t="n">
        <v>12361.31536830771</v>
      </c>
      <c r="K13" s="6" t="n">
        <v>768552.4482949674</v>
      </c>
    </row>
    <row r="14">
      <c r="A14" s="19" t="inlineStr">
        <is>
          <t>jul-23</t>
        </is>
      </c>
      <c r="B14" s="20" t="n">
        <v>24378.922</v>
      </c>
      <c r="C14" s="20" t="n">
        <v>67757.156</v>
      </c>
      <c r="D14" s="20" t="n">
        <v>13091.379</v>
      </c>
      <c r="E14" s="20" t="n">
        <v>1721.211</v>
      </c>
      <c r="F14" s="20" t="n">
        <v>106948.668</v>
      </c>
      <c r="G14" s="20" t="n">
        <v>167803.8747440781</v>
      </c>
      <c r="H14" s="20" t="n">
        <v>466382.9400840186</v>
      </c>
      <c r="I14" s="20" t="n">
        <v>90109.9778711813</v>
      </c>
      <c r="J14" s="20" t="n">
        <v>11847.3603981394</v>
      </c>
      <c r="K14" s="20" t="n">
        <v>736144.1530974174</v>
      </c>
    </row>
    <row r="15">
      <c r="A15" s="18" t="inlineStr">
        <is>
          <t>ago-23</t>
        </is>
      </c>
      <c r="B15" s="6" t="n">
        <v>26815.046</v>
      </c>
      <c r="C15" s="6" t="n">
        <v>70351.606</v>
      </c>
      <c r="D15" s="6" t="n">
        <v>14938.138</v>
      </c>
      <c r="E15" s="6" t="n">
        <v>1885.033</v>
      </c>
      <c r="F15" s="6" t="n">
        <v>113989.823</v>
      </c>
      <c r="G15" s="6" t="n">
        <v>164149.2379103525</v>
      </c>
      <c r="H15" s="6" t="n">
        <v>430659.8060905577</v>
      </c>
      <c r="I15" s="6" t="n">
        <v>91444.33198062303</v>
      </c>
      <c r="J15" s="6" t="n">
        <v>11539.29515488676</v>
      </c>
      <c r="K15" s="6" t="n">
        <v>697792.67113642</v>
      </c>
    </row>
    <row r="16">
      <c r="A16" s="19" t="inlineStr">
        <is>
          <t>sep-23</t>
        </is>
      </c>
      <c r="B16" s="20" t="n">
        <v>31703.625</v>
      </c>
      <c r="C16" s="20" t="n">
        <v>69590.86</v>
      </c>
      <c r="D16" s="20" t="n">
        <v>16119.042</v>
      </c>
      <c r="E16" s="20" t="n">
        <v>1898.012</v>
      </c>
      <c r="F16" s="20" t="n">
        <v>119311.539</v>
      </c>
      <c r="G16" s="20" t="n">
        <v>172128.8466478203</v>
      </c>
      <c r="H16" s="20" t="n">
        <v>377830.4363942589</v>
      </c>
      <c r="I16" s="20" t="n">
        <v>87515.29544422051</v>
      </c>
      <c r="J16" s="20" t="n">
        <v>10304.89783057057</v>
      </c>
      <c r="K16" s="20" t="n">
        <v>647779.4763168703</v>
      </c>
    </row>
    <row r="17">
      <c r="A17" s="18" t="inlineStr">
        <is>
          <t>oct-23</t>
        </is>
      </c>
      <c r="B17" s="6" t="n">
        <v>37746.747</v>
      </c>
      <c r="C17" s="6" t="n">
        <v>73966.963</v>
      </c>
      <c r="D17" s="6" t="n">
        <v>17549.148</v>
      </c>
      <c r="E17" s="6" t="n">
        <v>2164.787</v>
      </c>
      <c r="F17" s="6" t="n">
        <v>131427.645</v>
      </c>
      <c r="G17" s="6" t="n">
        <v>189229.4970011083</v>
      </c>
      <c r="H17" s="6" t="n">
        <v>370806.289696688</v>
      </c>
      <c r="I17" s="6" t="n">
        <v>87976.22875523567</v>
      </c>
      <c r="J17" s="6" t="n">
        <v>10852.36709601859</v>
      </c>
      <c r="K17" s="6" t="n">
        <v>658864.3825490506</v>
      </c>
    </row>
    <row r="18">
      <c r="A18" s="19" t="inlineStr">
        <is>
          <t>nov-23</t>
        </is>
      </c>
      <c r="B18" s="20" t="n">
        <v>42794.01100000001</v>
      </c>
      <c r="C18" s="20" t="n">
        <v>81867.60799999999</v>
      </c>
      <c r="D18" s="20" t="n">
        <v>18992.273</v>
      </c>
      <c r="E18" s="20" t="n">
        <v>2331.501</v>
      </c>
      <c r="F18" s="20" t="n">
        <v>145985.393</v>
      </c>
      <c r="G18" s="20" t="n">
        <v>190170.0157364597</v>
      </c>
      <c r="H18" s="20" t="n">
        <v>363807.0827636678</v>
      </c>
      <c r="I18" s="20" t="n">
        <v>84398.74577966385</v>
      </c>
      <c r="J18" s="20" t="n">
        <v>10360.83254405789</v>
      </c>
      <c r="K18" s="20" t="n">
        <v>648736.6768238491</v>
      </c>
    </row>
    <row r="19">
      <c r="A19" s="18" t="inlineStr">
        <is>
          <t>dic-23</t>
        </is>
      </c>
      <c r="B19" s="6" t="n">
        <v>48316.32</v>
      </c>
      <c r="C19" s="6" t="n">
        <v>88981.586</v>
      </c>
      <c r="D19" s="6" t="n">
        <v>20796.085</v>
      </c>
      <c r="E19" s="6" t="n">
        <v>2570.888</v>
      </c>
      <c r="F19" s="6" t="n">
        <v>160664.879</v>
      </c>
      <c r="G19" s="6" t="n">
        <v>171130.7170272412</v>
      </c>
      <c r="H19" s="6" t="n">
        <v>315162.3015660367</v>
      </c>
      <c r="I19" s="6" t="n">
        <v>73657.28468992375</v>
      </c>
      <c r="J19" s="6" t="n">
        <v>9105.782618310548</v>
      </c>
      <c r="K19" s="6" t="n">
        <v>569056.0859015123</v>
      </c>
    </row>
    <row r="20">
      <c r="A20" s="19" t="inlineStr">
        <is>
          <t>ene-24</t>
        </is>
      </c>
      <c r="B20" s="20" t="n">
        <v>56536.787</v>
      </c>
      <c r="C20" s="20" t="n">
        <v>96222.23000000001</v>
      </c>
      <c r="D20" s="20" t="n">
        <v>22950.175</v>
      </c>
      <c r="E20" s="20" t="n">
        <v>2891.092</v>
      </c>
      <c r="F20" s="20" t="n">
        <v>178600.284</v>
      </c>
      <c r="G20" s="20" t="n">
        <v>166023.6720087949</v>
      </c>
      <c r="H20" s="20" t="n">
        <v>282562.3598573939</v>
      </c>
      <c r="I20" s="20" t="n">
        <v>67394.56783676874</v>
      </c>
      <c r="J20" s="20" t="n">
        <v>8489.865367751638</v>
      </c>
      <c r="K20" s="20" t="n">
        <v>524470.4650707092</v>
      </c>
    </row>
    <row r="21">
      <c r="A21" s="18" t="inlineStr">
        <is>
          <t>feb-24</t>
        </is>
      </c>
      <c r="B21" s="6" t="n">
        <v>66162.41900000001</v>
      </c>
      <c r="C21" s="6" t="n">
        <v>116264.255</v>
      </c>
      <c r="D21" s="6" t="n">
        <v>22950.175</v>
      </c>
      <c r="E21" s="6" t="n">
        <v>3350.049</v>
      </c>
      <c r="F21" s="6" t="n">
        <v>208726.898</v>
      </c>
      <c r="G21" s="6" t="n">
        <v>171571.2483643418</v>
      </c>
      <c r="H21" s="6" t="n">
        <v>301494.4687935332</v>
      </c>
      <c r="I21" s="6" t="n">
        <v>59513.9995550965</v>
      </c>
      <c r="J21" s="6" t="n">
        <v>8687.28951720636</v>
      </c>
      <c r="K21" s="6" t="n">
        <v>541267.0062301779</v>
      </c>
    </row>
    <row r="22">
      <c r="A22" s="19" t="inlineStr">
        <is>
          <t>mar-24</t>
        </is>
      </c>
      <c r="B22" s="20" t="n">
        <v>74252.649</v>
      </c>
      <c r="C22" s="20" t="n">
        <v>127096.891</v>
      </c>
      <c r="D22" s="20" t="n">
        <v>28055.469</v>
      </c>
      <c r="E22" s="20" t="n">
        <v>3820.691</v>
      </c>
      <c r="F22" s="20" t="n">
        <v>233225.7</v>
      </c>
      <c r="G22" s="20" t="n">
        <v>173453.9356010551</v>
      </c>
      <c r="H22" s="20" t="n">
        <v>296897.9052398294</v>
      </c>
      <c r="I22" s="20" t="n">
        <v>65537.48019391735</v>
      </c>
      <c r="J22" s="20" t="n">
        <v>8925.121185447952</v>
      </c>
      <c r="K22" s="20" t="n">
        <v>544814.4422202498</v>
      </c>
    </row>
    <row r="23">
      <c r="A23" s="18" t="inlineStr">
        <is>
          <t>abr-24</t>
        </is>
      </c>
      <c r="B23" s="6" t="n">
        <v>85166.463</v>
      </c>
      <c r="C23" s="6" t="n">
        <v>151424.794</v>
      </c>
      <c r="D23" s="6" t="n">
        <v>32063.974</v>
      </c>
      <c r="E23" s="6" t="n">
        <v>4444.275</v>
      </c>
      <c r="F23" s="6" t="n">
        <v>273099.506</v>
      </c>
      <c r="G23" s="6" t="n">
        <v>182803.5071025999</v>
      </c>
      <c r="H23" s="6" t="n">
        <v>325022.1088257325</v>
      </c>
      <c r="I23" s="6" t="n">
        <v>68822.94617361974</v>
      </c>
      <c r="J23" s="6" t="n">
        <v>9539.307233275696</v>
      </c>
      <c r="K23" s="6" t="n">
        <v>586187.8693352279</v>
      </c>
    </row>
    <row r="24">
      <c r="A24" s="19" t="inlineStr">
        <is>
          <t>may-24</t>
        </is>
      </c>
      <c r="B24" s="20" t="n">
        <v>91652.571</v>
      </c>
      <c r="C24" s="20" t="n">
        <v>167588.693</v>
      </c>
      <c r="D24" s="20" t="n">
        <v>36826.902</v>
      </c>
      <c r="E24" s="20" t="n">
        <v>4550.532999999999</v>
      </c>
      <c r="F24" s="20" t="n">
        <v>300618.699</v>
      </c>
      <c r="G24" s="20" t="n">
        <v>188838.9250143148</v>
      </c>
      <c r="H24" s="20" t="n">
        <v>345296.0270004213</v>
      </c>
      <c r="I24" s="20" t="n">
        <v>75877.33229313906</v>
      </c>
      <c r="J24" s="20" t="n">
        <v>9375.81729117195</v>
      </c>
      <c r="K24" s="20" t="n">
        <v>619388.1015990471</v>
      </c>
    </row>
    <row r="25">
      <c r="A25" s="18" t="inlineStr">
        <is>
          <t>jun-24</t>
        </is>
      </c>
      <c r="B25" s="6" t="n">
        <v>99012.10799999999</v>
      </c>
      <c r="C25" s="6" t="n">
        <v>179511.677</v>
      </c>
      <c r="D25" s="6" t="n">
        <v>38842.466</v>
      </c>
      <c r="E25" s="6" t="n">
        <v>4486.201</v>
      </c>
      <c r="F25" s="6" t="n">
        <v>321852.452</v>
      </c>
      <c r="G25" s="6" t="n">
        <v>195073.7002643752</v>
      </c>
      <c r="H25" s="6" t="n">
        <v>353673.9877617125</v>
      </c>
      <c r="I25" s="6" t="n">
        <v>76527.44419918004</v>
      </c>
      <c r="J25" s="6" t="n">
        <v>8838.715252883421</v>
      </c>
      <c r="K25" s="6" t="n">
        <v>634113.8474781511</v>
      </c>
    </row>
    <row r="26">
      <c r="A26" s="19" t="inlineStr">
        <is>
          <t>jul-24</t>
        </is>
      </c>
      <c r="B26" s="20" t="n">
        <v>106601.835</v>
      </c>
      <c r="C26" s="20" t="n">
        <v>190313.184</v>
      </c>
      <c r="D26" s="20" t="n">
        <v>42073.38499999999</v>
      </c>
      <c r="E26" s="20" t="n">
        <v>4661.918</v>
      </c>
      <c r="F26" s="20" t="n">
        <v>343650.322</v>
      </c>
      <c r="G26" s="20" t="n">
        <v>201888.9732077578</v>
      </c>
      <c r="H26" s="20" t="n">
        <v>360426.5658809633</v>
      </c>
      <c r="I26" s="20" t="n">
        <v>79681.10958901109</v>
      </c>
      <c r="J26" s="20" t="n">
        <v>8829.020984477085</v>
      </c>
      <c r="K26" s="20" t="n">
        <v>650825.6696622093</v>
      </c>
    </row>
    <row r="27">
      <c r="A27" s="18" t="inlineStr">
        <is>
          <t>ago-24</t>
        </is>
      </c>
      <c r="B27" s="6" t="n">
        <v>120411.369</v>
      </c>
      <c r="C27" s="6" t="n">
        <v>203255.56</v>
      </c>
      <c r="D27" s="6" t="n">
        <v>46871.293</v>
      </c>
      <c r="E27" s="6" t="n">
        <v>4743.989</v>
      </c>
      <c r="F27" s="6" t="n">
        <v>375282.211</v>
      </c>
      <c r="G27" s="6" t="n">
        <v>218908.8256758037</v>
      </c>
      <c r="H27" s="6" t="n">
        <v>369520.2232247511</v>
      </c>
      <c r="I27" s="6" t="n">
        <v>85212.38313083642</v>
      </c>
      <c r="J27" s="6" t="n">
        <v>8624.609699512097</v>
      </c>
      <c r="K27" s="6" t="n">
        <v>682266.0417309033</v>
      </c>
    </row>
    <row r="28">
      <c r="A28" s="19" t="inlineStr">
        <is>
          <t>sep-24</t>
        </is>
      </c>
      <c r="B28" s="20" t="n">
        <v>135335.698</v>
      </c>
      <c r="C28" s="20" t="n">
        <v>215066.599</v>
      </c>
      <c r="D28" s="20" t="n">
        <v>51530.012</v>
      </c>
      <c r="E28" s="20" t="n">
        <v>4840.437</v>
      </c>
      <c r="F28" s="20" t="n">
        <v>406772.746</v>
      </c>
      <c r="G28" s="20" t="n">
        <v>237791.8792447758</v>
      </c>
      <c r="H28" s="20" t="n">
        <v>377883.2303284283</v>
      </c>
      <c r="I28" s="20" t="n">
        <v>90540.91841301063</v>
      </c>
      <c r="J28" s="20" t="n">
        <v>8504.90024144217</v>
      </c>
      <c r="K28" s="20" t="n">
        <v>714720.9282276569</v>
      </c>
    </row>
    <row r="29">
      <c r="A29" s="18" t="inlineStr">
        <is>
          <t>oct-24</t>
        </is>
      </c>
      <c r="B29" s="6" t="n">
        <v>152701.344</v>
      </c>
      <c r="C29" s="6" t="n">
        <v>233913.841</v>
      </c>
      <c r="D29" s="6" t="n">
        <v>56878.209</v>
      </c>
      <c r="E29" s="6" t="n">
        <v>5258.986000000001</v>
      </c>
      <c r="F29" s="6" t="n">
        <v>448752.3800000001</v>
      </c>
      <c r="G29" s="6" t="n">
        <v>261271.4810517511</v>
      </c>
      <c r="H29" s="6" t="n">
        <v>400225.7876431907</v>
      </c>
      <c r="I29" s="6" t="n">
        <v>97318.42245606586</v>
      </c>
      <c r="J29" s="6" t="n">
        <v>8998.10718791332</v>
      </c>
      <c r="K29" s="6" t="n">
        <v>767813.7983389209</v>
      </c>
    </row>
    <row r="30">
      <c r="A30" s="19" t="inlineStr">
        <is>
          <t>nov-24</t>
        </is>
      </c>
      <c r="B30" s="20" t="n">
        <v>169030.708</v>
      </c>
      <c r="C30" s="20" t="n">
        <v>248082.201</v>
      </c>
      <c r="D30" s="20" t="n">
        <v>66050.167</v>
      </c>
      <c r="E30" s="20" t="n">
        <v>5491.283</v>
      </c>
      <c r="F30" s="20" t="n">
        <v>488654.359</v>
      </c>
      <c r="G30" s="20" t="n">
        <v>282359.3592197569</v>
      </c>
      <c r="H30" s="20" t="n">
        <v>414411.8671513045</v>
      </c>
      <c r="I30" s="20" t="n">
        <v>110334.2880778677</v>
      </c>
      <c r="J30" s="20" t="n">
        <v>9172.979084808332</v>
      </c>
      <c r="K30" s="20" t="n">
        <v>816278.4935337374</v>
      </c>
    </row>
    <row r="31">
      <c r="A31" s="18" t="inlineStr">
        <is>
          <t>dic-24</t>
        </is>
      </c>
      <c r="B31" s="6" t="n">
        <v>190711.513</v>
      </c>
      <c r="C31" s="6" t="n">
        <v>268064.903</v>
      </c>
      <c r="D31" s="6" t="n">
        <v>75506.07900000001</v>
      </c>
      <c r="E31" s="6" t="n">
        <v>6190.248</v>
      </c>
      <c r="F31" s="6" t="n">
        <v>540472.743</v>
      </c>
      <c r="G31" s="6" t="n">
        <v>310188.4983837305</v>
      </c>
      <c r="H31" s="6" t="n">
        <v>436002.2550445099</v>
      </c>
      <c r="I31" s="6" t="n">
        <v>122809.1419098192</v>
      </c>
      <c r="J31" s="6" t="n">
        <v>10068.31575890697</v>
      </c>
      <c r="K31" s="6" t="n">
        <v>879068.2110969668</v>
      </c>
    </row>
    <row r="32">
      <c r="A32" s="19" t="inlineStr">
        <is>
          <t>ene-25</t>
        </is>
      </c>
      <c r="B32" s="20" t="n">
        <v>212200.835</v>
      </c>
      <c r="C32" s="20" t="n">
        <v>282440.33</v>
      </c>
      <c r="D32" s="20" t="n">
        <v>113278.433</v>
      </c>
      <c r="E32" s="20" t="n">
        <v>6141.59</v>
      </c>
      <c r="F32" s="20" t="n">
        <v>614061.188</v>
      </c>
      <c r="G32" s="20" t="n">
        <v>337674.3137607678</v>
      </c>
      <c r="H32" s="20" t="n">
        <v>449446.1325334315</v>
      </c>
      <c r="I32" s="20" t="n">
        <v>180259.5033481848</v>
      </c>
      <c r="J32" s="20" t="n">
        <v>9773.086843178511</v>
      </c>
      <c r="K32" s="20" t="n">
        <v>977153.0364855626</v>
      </c>
    </row>
    <row r="33">
      <c r="A33" s="18" t="inlineStr">
        <is>
          <t>feb-25</t>
        </is>
      </c>
      <c r="B33" s="6" t="n">
        <v>234810.206</v>
      </c>
      <c r="C33" s="6" t="n">
        <v>290076.202</v>
      </c>
      <c r="D33" s="6" t="n">
        <v>88550.382</v>
      </c>
      <c r="E33" s="6" t="n">
        <v>5977.716</v>
      </c>
      <c r="F33" s="6" t="n">
        <v>619414.5060000001</v>
      </c>
      <c r="G33" s="6" t="n">
        <v>364889.2327026529</v>
      </c>
      <c r="H33" s="6" t="n">
        <v>450771.2189183112</v>
      </c>
      <c r="I33" s="6" t="n">
        <v>137605.096021707</v>
      </c>
      <c r="J33" s="6" t="n">
        <v>9289.222311547956</v>
      </c>
      <c r="K33" s="6" t="n">
        <v>962554.7699542191</v>
      </c>
    </row>
    <row r="34">
      <c r="A34" s="19" t="inlineStr">
        <is>
          <t>mar-25</t>
        </is>
      </c>
      <c r="B34" s="20" t="n">
        <v>261727.981</v>
      </c>
      <c r="C34" s="20" t="n">
        <v>317038.107</v>
      </c>
      <c r="D34" s="20" t="n">
        <v>94195.249</v>
      </c>
      <c r="E34" s="20" t="n">
        <v>6297.413</v>
      </c>
      <c r="F34" s="20" t="n">
        <v>679258.7499999999</v>
      </c>
      <c r="G34" s="20" t="n">
        <v>392096.2048164795</v>
      </c>
      <c r="H34" s="20" t="n">
        <v>474956.6250499634</v>
      </c>
      <c r="I34" s="20" t="n">
        <v>141114.4483044145</v>
      </c>
      <c r="J34" s="20" t="n">
        <v>9434.190903195637</v>
      </c>
      <c r="K34" s="20" t="n">
        <v>1017601.469074053</v>
      </c>
    </row>
    <row r="35">
      <c r="A35" s="18" t="inlineStr">
        <is>
          <t>abr-25</t>
        </is>
      </c>
      <c r="B35" s="6" t="n">
        <v>286665.968</v>
      </c>
      <c r="C35" s="6" t="n">
        <v>336298.656</v>
      </c>
      <c r="D35" s="6" t="n">
        <v>100642.437</v>
      </c>
      <c r="E35" s="6" t="n">
        <v>6739.824000000001</v>
      </c>
      <c r="F35" s="6" t="n">
        <v>730346.8850000001</v>
      </c>
      <c r="G35" s="6" t="n">
        <v>417836.5977514107</v>
      </c>
      <c r="H35" s="6" t="n">
        <v>490179.8676409753</v>
      </c>
      <c r="I35" s="6" t="n">
        <v>146693.7068214902</v>
      </c>
      <c r="J35" s="6" t="n">
        <v>9823.786022634205</v>
      </c>
      <c r="K35" s="6" t="n">
        <v>1064533.95823651</v>
      </c>
    </row>
    <row r="36">
      <c r="A36" s="19" t="inlineStr">
        <is>
          <t>may-25</t>
        </is>
      </c>
      <c r="B36" s="20" t="n">
        <v>302745.524</v>
      </c>
      <c r="C36" s="20" t="n">
        <v>347904.189</v>
      </c>
      <c r="D36" s="20" t="n">
        <v>106265.659</v>
      </c>
      <c r="E36" s="20" t="n">
        <v>6546.035</v>
      </c>
      <c r="F36" s="20" t="n">
        <v>763461.407</v>
      </c>
      <c r="G36" s="20" t="n">
        <v>434747.6905853723</v>
      </c>
      <c r="H36" s="20" t="n">
        <v>499596.2969636734</v>
      </c>
      <c r="I36" s="20" t="n">
        <v>152599.2828180763</v>
      </c>
      <c r="J36" s="20" t="n">
        <v>9400.216925225352</v>
      </c>
      <c r="K36" s="20" t="n">
        <v>1096343.487292347</v>
      </c>
    </row>
    <row r="37">
      <c r="A37" s="18" t="inlineStr">
        <is>
          <t>jun-25</t>
        </is>
      </c>
      <c r="B37" s="6" t="n">
        <v>316270.965</v>
      </c>
      <c r="C37" s="6" t="n">
        <v>366956.399</v>
      </c>
      <c r="D37" s="6" t="n">
        <v>106985.856</v>
      </c>
      <c r="E37" s="6" t="n">
        <v>6748.358</v>
      </c>
      <c r="F37" s="6" t="n">
        <v>796961.5780000001</v>
      </c>
      <c r="G37" s="6" t="n">
        <v>446934.9120212313</v>
      </c>
      <c r="H37" s="6" t="n">
        <v>518560.487848427</v>
      </c>
      <c r="I37" s="6" t="n">
        <v>151185.9115454247</v>
      </c>
      <c r="J37" s="6" t="n">
        <v>9536.369514722199</v>
      </c>
      <c r="K37" s="6" t="n">
        <v>1126217.680929805</v>
      </c>
    </row>
    <row r="38">
      <c r="A38" s="19" t="inlineStr">
        <is>
          <t>jul-25</t>
        </is>
      </c>
      <c r="B38" s="20" t="n">
        <v>331281.356</v>
      </c>
      <c r="C38" s="20" t="n">
        <v>387788.158</v>
      </c>
      <c r="D38" s="20" t="n">
        <v>114976.654</v>
      </c>
      <c r="E38" s="20" t="n">
        <v>6430.733</v>
      </c>
      <c r="F38" s="20" t="n">
        <v>840476.901</v>
      </c>
      <c r="G38" s="20" t="n">
        <v>459410.1562817713</v>
      </c>
      <c r="H38" s="20" t="n">
        <v>537771.9423214394</v>
      </c>
      <c r="I38" s="20" t="n">
        <v>159445.8656553409</v>
      </c>
      <c r="J38" s="20" t="n">
        <v>8917.930330303116</v>
      </c>
      <c r="K38" s="20" t="n">
        <v>1165545.894588855</v>
      </c>
    </row>
    <row r="39">
      <c r="A39" s="18" t="inlineStr">
        <is>
          <t>ago-25</t>
        </is>
      </c>
      <c r="B39" s="6" t="n">
        <v>350245.583</v>
      </c>
      <c r="C39" s="6" t="n">
        <v>402437.79</v>
      </c>
      <c r="D39" s="6" t="n">
        <v>122855.145</v>
      </c>
      <c r="E39" s="6" t="n">
        <v>6317.381</v>
      </c>
      <c r="F39" s="6" t="n">
        <v>881855.899</v>
      </c>
      <c r="G39" s="6" t="n">
        <v>476765.9810856013</v>
      </c>
      <c r="H39" s="6" t="n">
        <v>547811.7557738656</v>
      </c>
      <c r="I39" s="6" t="n">
        <v>167234.5250884686</v>
      </c>
      <c r="J39" s="6" t="n">
        <v>8599.429933015137</v>
      </c>
      <c r="K39" s="6" t="n">
        <v>1200411.69188095</v>
      </c>
    </row>
    <row r="40">
      <c r="A40" s="19" t="inlineStr">
        <is>
          <t>sep-25</t>
        </is>
      </c>
      <c r="B40" s="20" t="n">
        <v>364992.742</v>
      </c>
      <c r="C40" s="20" t="n">
        <v>416284.899</v>
      </c>
      <c r="D40" s="20" t="n">
        <v>128757.102</v>
      </c>
      <c r="E40" s="20" t="n">
        <v>6373.226</v>
      </c>
      <c r="F40" s="20" t="n">
        <v>916407.969</v>
      </c>
      <c r="G40" s="20" t="n">
        <v>486735.862877977</v>
      </c>
      <c r="H40" s="20" t="n">
        <v>555136.4895848711</v>
      </c>
      <c r="I40" s="20" t="n">
        <v>171703.9599204899</v>
      </c>
      <c r="J40" s="20" t="n">
        <v>8499.011896588228</v>
      </c>
      <c r="K40" s="20" t="n">
        <v>1222075.324279926</v>
      </c>
    </row>
    <row r="41">
      <c r="A41" s="18" t="inlineStr">
        <is>
          <t>oct-25</t>
        </is>
      </c>
      <c r="B41" s="6" t="n">
        <v>376197.912</v>
      </c>
      <c r="C41" s="6" t="n">
        <v>424302.141</v>
      </c>
      <c r="D41" s="6" t="n">
        <v>134486.7</v>
      </c>
      <c r="E41" s="6" t="n">
        <v>6409.907</v>
      </c>
      <c r="F41" s="6" t="n">
        <v>941396.66</v>
      </c>
      <c r="G41" s="6" t="n">
        <v>490198.3446194485</v>
      </c>
      <c r="H41" s="6" t="n">
        <v>552879.7489356821</v>
      </c>
      <c r="I41" s="6" t="n">
        <v>175240.6263045192</v>
      </c>
      <c r="J41" s="6" t="n">
        <v>8352.3212126829</v>
      </c>
      <c r="K41" s="6" t="n">
        <v>1226671.041072333</v>
      </c>
    </row>
    <row r="42">
      <c r="A42" s="19" t="inlineStr">
        <is>
          <t>nov-25</t>
        </is>
      </c>
      <c r="B42" s="20" t="n">
        <v>386377.306</v>
      </c>
      <c r="C42" s="20" t="n">
        <v>424524.239</v>
      </c>
      <c r="D42" s="20" t="n">
        <v>137847.058</v>
      </c>
      <c r="E42" s="20" t="n">
        <v>6307.008</v>
      </c>
      <c r="F42" s="20" t="n">
        <v>955055.6109999999</v>
      </c>
      <c r="G42" s="20" t="n">
        <v>491312.6647613549</v>
      </c>
      <c r="H42" s="20" t="n">
        <v>539819.8390018184</v>
      </c>
      <c r="I42" s="20" t="n">
        <v>175284.6358825564</v>
      </c>
      <c r="J42" s="20" t="n">
        <v>8019.914366169279</v>
      </c>
      <c r="K42" s="20" t="n">
        <v>1214437.054011899</v>
      </c>
    </row>
    <row r="43">
      <c r="A43" s="18" t="inlineStr">
        <is>
          <t>dic-25</t>
        </is>
      </c>
      <c r="B43" s="6" t="n">
        <v>396362.304</v>
      </c>
      <c r="C43" s="6" t="n">
        <v>421879.288</v>
      </c>
      <c r="D43" s="6" t="n">
        <v>143467.231</v>
      </c>
      <c r="E43" s="6" t="n">
        <v>6932.092000000001</v>
      </c>
      <c r="F43" s="6" t="n">
        <v>968640.9149999999</v>
      </c>
      <c r="G43" s="6" t="n">
        <v>490065.7626974214</v>
      </c>
      <c r="H43" s="6" t="n">
        <v>521615.1812458056</v>
      </c>
      <c r="I43" s="6" t="n">
        <v>177384.1187029282</v>
      </c>
      <c r="J43" s="6" t="n">
        <v>8570.898187807217</v>
      </c>
      <c r="K43" s="6" t="n">
        <v>1197635.960833963</v>
      </c>
    </row>
    <row r="44">
      <c r="A44" s="19" t="inlineStr">
        <is>
          <t>ene-26</t>
        </is>
      </c>
      <c r="B44" s="20" t="n">
        <v>409676.878</v>
      </c>
      <c r="C44" s="20" t="n">
        <v>420132.997</v>
      </c>
      <c r="D44" s="20" t="n">
        <v>140692.94</v>
      </c>
      <c r="E44" s="20" t="n">
        <v>6370.316000000001</v>
      </c>
      <c r="F44" s="20" t="n">
        <v>976873.1309999999</v>
      </c>
      <c r="G44" s="20" t="n">
        <v>492340.6335580164</v>
      </c>
      <c r="H44" s="20" t="n">
        <v>504906.5666859731</v>
      </c>
      <c r="I44" s="20" t="n">
        <v>169081.6712793344</v>
      </c>
      <c r="J44" s="20" t="n">
        <v>7655.705224849838</v>
      </c>
      <c r="K44" s="20" t="n">
        <v>1173984.576748174</v>
      </c>
    </row>
    <row r="45">
      <c r="A45" s="18" t="inlineStr">
        <is>
          <t>feb-26</t>
        </is>
      </c>
      <c r="B45" s="6" t="n">
        <v>419533.404</v>
      </c>
      <c r="C45" s="6" t="n">
        <v>421250.275</v>
      </c>
      <c r="D45" s="6" t="n">
        <v>146399.389</v>
      </c>
      <c r="E45" s="6" t="n">
        <v>6245.753</v>
      </c>
      <c r="F45" s="6" t="n">
        <v>993428.821</v>
      </c>
      <c r="G45" s="6" t="n">
        <v>489994.1937581787</v>
      </c>
      <c r="H45" s="6" t="n">
        <v>491999.4138751251</v>
      </c>
      <c r="I45" s="6" t="n">
        <v>170987.2203161801</v>
      </c>
      <c r="J45" s="6" t="n">
        <v>7294.729517289465</v>
      </c>
      <c r="K45" s="6" t="n">
        <v>1160275.557466773</v>
      </c>
    </row>
    <row r="46">
      <c r="A46" s="19" t="inlineStr">
        <is>
          <t>mar-26</t>
        </is>
      </c>
      <c r="B46" s="20" t="n">
        <v>432829.789</v>
      </c>
      <c r="C46" s="20" t="n">
        <v>429344.643</v>
      </c>
      <c r="D46" s="20" t="n">
        <v>150561.947</v>
      </c>
      <c r="E46" s="20" t="n">
        <v>6490.668</v>
      </c>
      <c r="F46" s="20" t="n">
        <v>1019227.047</v>
      </c>
      <c r="G46" s="20" t="n">
        <v>488983.2554027492</v>
      </c>
      <c r="H46" s="20" t="n">
        <v>485045.9616213504</v>
      </c>
      <c r="I46" s="20" t="n">
        <v>170095.2033683527</v>
      </c>
      <c r="J46" s="20" t="n">
        <v>7332.73921767536</v>
      </c>
      <c r="K46" s="20" t="n">
        <v>1151457.159610128</v>
      </c>
    </row>
    <row r="47">
      <c r="A47" s="18" t="inlineStr">
        <is>
          <t>abr-26</t>
        </is>
      </c>
      <c r="B47" s="6" t="n">
        <v>446848.017</v>
      </c>
      <c r="C47" s="6" t="n">
        <v>457213.532</v>
      </c>
      <c r="D47" s="6" t="n">
        <v>159494.827</v>
      </c>
      <c r="E47" s="6" t="n">
        <v>6793.849</v>
      </c>
      <c r="F47" s="6" t="n">
        <v>1070350.225</v>
      </c>
      <c r="G47" s="6" t="n">
        <v>492112.9087751484</v>
      </c>
      <c r="H47" s="6" t="n">
        <v>503528.4316006697</v>
      </c>
      <c r="I47" s="6" t="n">
        <v>175651.3630216224</v>
      </c>
      <c r="J47" s="6" t="n">
        <v>7482.053552828305</v>
      </c>
      <c r="K47" s="6" t="n">
        <v>1178774.756950269</v>
      </c>
    </row>
    <row r="48">
      <c r="A48" s="19" t="inlineStr">
        <is>
          <t>may-26</t>
        </is>
      </c>
      <c r="B48" s="20" t="n">
        <v>457967.342</v>
      </c>
      <c r="C48" s="20" t="n">
        <v>463483.525</v>
      </c>
      <c r="D48" s="20" t="n">
        <v>164966.363</v>
      </c>
      <c r="E48" s="20" t="n">
        <v>6527.231000000001</v>
      </c>
      <c r="F48" s="20" t="n">
        <v>1092944.461</v>
      </c>
      <c r="G48" s="20" t="n">
        <v>493743.2577360733</v>
      </c>
      <c r="H48" s="20" t="n">
        <v>499690.3590136319</v>
      </c>
      <c r="I48" s="20" t="n">
        <v>177853.3576843818</v>
      </c>
      <c r="J48" s="20" t="n">
        <v>7037.131258883275</v>
      </c>
      <c r="K48" s="20" t="n">
        <v>1178324.10569297</v>
      </c>
    </row>
    <row r="49">
      <c r="A49" s="18" t="inlineStr">
        <is>
          <t>jun-26</t>
        </is>
      </c>
      <c r="B49" s="6" t="n">
        <v>464209.126</v>
      </c>
      <c r="C49" s="6" t="n">
        <v>476673.586</v>
      </c>
      <c r="D49" s="6" t="n">
        <v>168910.688</v>
      </c>
      <c r="E49" s="6" t="n">
        <v>6559.873000000001</v>
      </c>
      <c r="F49" s="6" t="n">
        <v>1116353.273</v>
      </c>
      <c r="G49" s="6" t="n">
        <v>491204.2503294682</v>
      </c>
      <c r="H49" s="6" t="n">
        <v>504393.5552938468</v>
      </c>
      <c r="I49" s="6" t="n">
        <v>178733.3406962678</v>
      </c>
      <c r="J49" s="6" t="n">
        <v>6941.34888511761</v>
      </c>
      <c r="K49" s="6" t="n">
        <v>1181272.4952047</v>
      </c>
    </row>
    <row r="50">
      <c r="A50" s="19" t="inlineStr">
        <is>
          <t>jul-26</t>
        </is>
      </c>
      <c r="B50" s="20" t="n">
        <v>462841.365</v>
      </c>
      <c r="C50" s="20" t="n">
        <v>481225.208</v>
      </c>
      <c r="D50" s="20" t="n">
        <v>167596.095</v>
      </c>
      <c r="E50" s="20" t="n">
        <v>6434.909000000001</v>
      </c>
      <c r="F50" s="20" t="n">
        <v>1118097.577</v>
      </c>
      <c r="G50" s="20" t="n">
        <v>479618.6477831011</v>
      </c>
      <c r="H50" s="20" t="n">
        <v>498668.8766249351</v>
      </c>
      <c r="I50" s="20" t="n">
        <v>173671.1939254352</v>
      </c>
      <c r="J50" s="20" t="n">
        <v>6668.164486956147</v>
      </c>
      <c r="K50" s="20" t="n">
        <v>1158626.882820427</v>
      </c>
    </row>
    <row r="51">
      <c r="A51" s="18" t="inlineStr">
        <is>
          <t>ago-26</t>
        </is>
      </c>
      <c r="B51" s="6" t="n">
        <v>467450.14</v>
      </c>
      <c r="C51" s="6" t="n">
        <v>494276.432</v>
      </c>
      <c r="D51" s="6" t="n">
        <v>170421.055</v>
      </c>
      <c r="E51" s="6" t="n">
        <v>6483.937</v>
      </c>
      <c r="F51" s="6" t="n">
        <v>1138631.564</v>
      </c>
      <c r="G51" s="6" t="n">
        <v>476488.8036019512</v>
      </c>
      <c r="H51" s="6" t="n">
        <v>503833.8115212056</v>
      </c>
      <c r="I51" s="6" t="n">
        <v>173716.3339078951</v>
      </c>
      <c r="J51" s="6" t="n">
        <v>6609.311067401594</v>
      </c>
      <c r="K51" s="6" t="n">
        <v>1160648.260098454</v>
      </c>
    </row>
    <row r="52"/>
    <row r="53">
      <c r="A53" s="15" t="inlineStr">
        <is>
          <t>Fuente: EcoGo en base a BCRA, Central de Deudores del Sistema Financiero (24DSF). Saldo = préstamos + garantías otorgadas + otros conceptos. último dato: ago-26.</t>
        </is>
      </c>
    </row>
    <row r="54">
      <c r="A54" s="16" t="inlineStr">
        <is>
          <t>www.ecogo.com.ar</t>
        </is>
      </c>
    </row>
  </sheetData>
  <mergeCells count="3">
    <mergeCell ref="A2:K2"/>
    <mergeCell ref="A53:K53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3C9794"/>
    <outlinePr summaryBelow="1" summaryRight="1"/>
    <pageSetUpPr/>
  </sheetPr>
  <dimension ref="A1:K5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Mora por entidad (situación 3+4+5 sobre saldo total)</t>
        </is>
      </c>
    </row>
    <row r="2">
      <c r="A2" s="2" t="inlineStr">
        <is>
          <t>Central de Deudores · situación 2 (seguimiento especial) como señal adelantada · último dato: ago-26</t>
        </is>
      </c>
    </row>
    <row r="3">
      <c r="B3" s="17" t="inlineStr">
        <is>
          <t>Mora (sit. 3+4+5 / total)</t>
        </is>
      </c>
      <c r="G3" s="17" t="inlineStr">
        <is>
          <t>Situación 2 / total</t>
        </is>
      </c>
    </row>
    <row r="4" ht="44" customHeight="1">
      <c r="A4" s="3" t="inlineStr">
        <is>
          <t>Mes</t>
        </is>
      </c>
      <c r="B4" s="3" t="inlineStr">
        <is>
          <t>BSF (Carrefour Banco)</t>
        </is>
      </c>
      <c r="C4" s="3" t="inlineStr">
        <is>
          <t>Cencosud S.A. (Tarjeta Cencosud)</t>
        </is>
      </c>
      <c r="D4" s="3" t="inlineStr">
        <is>
          <t>Tarjetas del Mar S.A. (Tarjeta La Anónima)</t>
        </is>
      </c>
      <c r="E4" s="3" t="inlineStr">
        <is>
          <t>Coto CIC (Tarjeta TCI)</t>
        </is>
      </c>
      <c r="F4" s="3" t="inlineStr">
        <is>
          <t>Total (ponderado por saldo)</t>
        </is>
      </c>
      <c r="G4" s="3" t="inlineStr">
        <is>
          <t>BSF (Carrefour Banco)</t>
        </is>
      </c>
      <c r="H4" s="3" t="inlineStr">
        <is>
          <t>Cencosud S.A. (Tarjeta Cencosud)</t>
        </is>
      </c>
      <c r="I4" s="3" t="inlineStr">
        <is>
          <t>Tarjetas del Mar S.A. (Tarjeta La Anónima)</t>
        </is>
      </c>
      <c r="J4" s="3" t="inlineStr">
        <is>
          <t>Coto CIC (Tarjeta TCI)</t>
        </is>
      </c>
      <c r="K4" s="3" t="inlineStr">
        <is>
          <t>Total (ponderado por saldo)</t>
        </is>
      </c>
    </row>
    <row r="5">
      <c r="A5" s="18" t="inlineStr">
        <is>
          <t>oct-22</t>
        </is>
      </c>
      <c r="B5" s="7" t="n">
        <v>0.1011048814555427</v>
      </c>
      <c r="C5" s="7" t="n">
        <v>0.06573161009274708</v>
      </c>
      <c r="D5" s="7" t="n">
        <v>0.08411918161339517</v>
      </c>
      <c r="E5" s="7" t="n">
        <v>0.03407477668264753</v>
      </c>
      <c r="F5" s="7" t="n">
        <v>0.07430567787517851</v>
      </c>
      <c r="G5" s="7" t="n">
        <v>0.03847947424846278</v>
      </c>
      <c r="H5" s="7" t="n">
        <v>0.03111849800587055</v>
      </c>
      <c r="I5" s="7" t="n">
        <v>0.02414054698446366</v>
      </c>
      <c r="J5" s="7" t="n">
        <v>0.006346955417920797</v>
      </c>
      <c r="K5" s="7" t="n">
        <v>0.03146973531729848</v>
      </c>
    </row>
    <row r="6">
      <c r="A6" s="19" t="inlineStr">
        <is>
          <t>nov-22</t>
        </is>
      </c>
      <c r="B6" s="21" t="n">
        <v>0.100018568532388</v>
      </c>
      <c r="C6" s="21" t="n">
        <v>0.06740264700667879</v>
      </c>
      <c r="D6" s="21" t="n">
        <v>0.06847415769774733</v>
      </c>
      <c r="E6" s="21" t="n">
        <v>0.03081535926350013</v>
      </c>
      <c r="F6" s="21" t="n">
        <v>0.07375505016834133</v>
      </c>
      <c r="G6" s="21" t="n">
        <v>0.04004281463415718</v>
      </c>
      <c r="H6" s="21" t="n">
        <v>0.03129643573659133</v>
      </c>
      <c r="I6" s="21" t="n">
        <v>0.02692252987186384</v>
      </c>
      <c r="J6" s="21" t="n">
        <v>0.008461329590301832</v>
      </c>
      <c r="K6" s="21" t="n">
        <v>0.03227073769247805</v>
      </c>
    </row>
    <row r="7">
      <c r="A7" s="18" t="inlineStr">
        <is>
          <t>dic-22</t>
        </is>
      </c>
      <c r="B7" s="7" t="n">
        <v>0.08622791932112625</v>
      </c>
      <c r="C7" s="7" t="n">
        <v>0.06738461229160216</v>
      </c>
      <c r="D7" s="7" t="n">
        <v>0.06914936855295274</v>
      </c>
      <c r="E7" s="7" t="n">
        <v>0.02966263717655285</v>
      </c>
      <c r="F7" s="7" t="n">
        <v>0.07074800598666431</v>
      </c>
      <c r="G7" s="7" t="n">
        <v>0.043028094724502</v>
      </c>
      <c r="H7" s="7" t="n">
        <v>0.02776439348298324</v>
      </c>
      <c r="I7" s="7" t="n">
        <v>0.0258784628945369</v>
      </c>
      <c r="J7" s="7" t="n">
        <v>0.008109052969677767</v>
      </c>
      <c r="K7" s="7" t="n">
        <v>0.03038138311461492</v>
      </c>
    </row>
    <row r="8">
      <c r="A8" s="19" t="inlineStr">
        <is>
          <t>ene-23</t>
        </is>
      </c>
      <c r="B8" s="21" t="n">
        <v>0.09328031430679945</v>
      </c>
      <c r="C8" s="21" t="n">
        <v>0.07575299220883874</v>
      </c>
      <c r="D8" s="21" t="n">
        <v>0.06674892857197738</v>
      </c>
      <c r="E8" s="21" t="n">
        <v>0.03174091243184583</v>
      </c>
      <c r="F8" s="21" t="n">
        <v>0.07778437237999195</v>
      </c>
      <c r="G8" s="21" t="n">
        <v>0.04608998879823148</v>
      </c>
      <c r="H8" s="21" t="n">
        <v>0.03063344627237286</v>
      </c>
      <c r="I8" s="21" t="n">
        <v>0.0238042187142249</v>
      </c>
      <c r="J8" s="21" t="n">
        <v>0.006930650584198338</v>
      </c>
      <c r="K8" s="21" t="n">
        <v>0.0328270131605225</v>
      </c>
    </row>
    <row r="9">
      <c r="A9" s="18" t="inlineStr">
        <is>
          <t>feb-23</t>
        </is>
      </c>
      <c r="B9" s="7" t="n">
        <v>0.09779379411371239</v>
      </c>
      <c r="C9" s="7" t="n">
        <v>0.07571057989391532</v>
      </c>
      <c r="D9" s="7" t="n">
        <v>0.06453014144490614</v>
      </c>
      <c r="E9" s="7" t="n">
        <v>0.03094431082429082</v>
      </c>
      <c r="F9" s="7" t="n">
        <v>0.07859124425770583</v>
      </c>
      <c r="G9" s="7" t="n">
        <v>0.05152982511389184</v>
      </c>
      <c r="H9" s="7" t="n">
        <v>0.03362697122854642</v>
      </c>
      <c r="I9" s="7" t="n">
        <v>0.02448065166793372</v>
      </c>
      <c r="J9" s="7" t="n">
        <v>0.009823727234962441</v>
      </c>
      <c r="K9" s="7" t="n">
        <v>0.03618527815501375</v>
      </c>
    </row>
    <row r="10">
      <c r="A10" s="19" t="inlineStr">
        <is>
          <t>mar-23</t>
        </is>
      </c>
      <c r="B10" s="21" t="n">
        <v>0.1063306042948177</v>
      </c>
      <c r="C10" s="21" t="n">
        <v>0.07712129442549331</v>
      </c>
      <c r="D10" s="21" t="n">
        <v>0.0614807607501414</v>
      </c>
      <c r="E10" s="21" t="n">
        <v>0.03118649002956995</v>
      </c>
      <c r="F10" s="21" t="n">
        <v>0.08106466419133054</v>
      </c>
      <c r="G10" s="21" t="n">
        <v>0.05406774348623843</v>
      </c>
      <c r="H10" s="21" t="n">
        <v>0.03127766662133677</v>
      </c>
      <c r="I10" s="21" t="n">
        <v>0.02478981649632899</v>
      </c>
      <c r="J10" s="21" t="n">
        <v>0.01016684165552356</v>
      </c>
      <c r="K10" s="21" t="n">
        <v>0.03519094576240309</v>
      </c>
    </row>
    <row r="11">
      <c r="A11" s="18" t="inlineStr">
        <is>
          <t>abr-23</t>
        </is>
      </c>
      <c r="B11" s="7" t="n">
        <v>0.1140095006632308</v>
      </c>
      <c r="C11" s="7" t="n">
        <v>0.07964245303608136</v>
      </c>
      <c r="D11" s="7" t="n">
        <v>0.05851244555317409</v>
      </c>
      <c r="E11" s="7" t="n">
        <v>0.03150219865085374</v>
      </c>
      <c r="F11" s="7" t="n">
        <v>0.08419146750043606</v>
      </c>
      <c r="G11" s="7" t="n">
        <v>0.0527918648179947</v>
      </c>
      <c r="H11" s="7" t="n">
        <v>0.03716435929241756</v>
      </c>
      <c r="I11" s="7" t="n">
        <v>0.02915618790873741</v>
      </c>
      <c r="J11" s="7" t="n">
        <v>0.01048135223031294</v>
      </c>
      <c r="K11" s="7" t="n">
        <v>0.03932009205008634</v>
      </c>
    </row>
    <row r="12">
      <c r="A12" s="19" t="inlineStr">
        <is>
          <t>may-23</t>
        </is>
      </c>
      <c r="B12" s="21" t="n">
        <v>0.1194724081231509</v>
      </c>
      <c r="C12" s="21" t="n">
        <v>0.08024107958160735</v>
      </c>
      <c r="D12" s="21" t="n">
        <v>0.05303801181064511</v>
      </c>
      <c r="E12" s="21" t="n">
        <v>0.03059268334795844</v>
      </c>
      <c r="F12" s="21" t="n">
        <v>0.0851478471278799</v>
      </c>
      <c r="G12" s="21" t="n">
        <v>0.0506366951556461</v>
      </c>
      <c r="H12" s="21" t="n">
        <v>0.03632044911280098</v>
      </c>
      <c r="I12" s="21" t="n">
        <v>0.02807262143298585</v>
      </c>
      <c r="J12" s="21" t="n">
        <v>0.007889278103261911</v>
      </c>
      <c r="K12" s="21" t="n">
        <v>0.03812929670352349</v>
      </c>
    </row>
    <row r="13">
      <c r="A13" s="18" t="inlineStr">
        <is>
          <t>jun-23</t>
        </is>
      </c>
      <c r="B13" s="7" t="n">
        <v>0.118376535526263</v>
      </c>
      <c r="C13" s="7" t="n">
        <v>0.08547654694010864</v>
      </c>
      <c r="D13" s="7" t="n">
        <v>0.05403704603413097</v>
      </c>
      <c r="E13" s="7" t="n">
        <v>0.03092912315275603</v>
      </c>
      <c r="F13" s="7" t="n">
        <v>0.08838721783038765</v>
      </c>
      <c r="G13" s="7" t="n">
        <v>0.04490603882760145</v>
      </c>
      <c r="H13" s="7" t="n">
        <v>0.03161990057656475</v>
      </c>
      <c r="I13" s="7" t="n">
        <v>0.0261281439428398</v>
      </c>
      <c r="J13" s="7" t="n">
        <v>0.006888600441040971</v>
      </c>
      <c r="K13" s="7" t="n">
        <v>0.0335755357717356</v>
      </c>
    </row>
    <row r="14">
      <c r="A14" s="19" t="inlineStr">
        <is>
          <t>jul-23</t>
        </is>
      </c>
      <c r="B14" s="21" t="n">
        <v>0.1271553762713544</v>
      </c>
      <c r="C14" s="21" t="n">
        <v>0.09002240294737282</v>
      </c>
      <c r="D14" s="21" t="n">
        <v>0.05074530345504473</v>
      </c>
      <c r="E14" s="21" t="n">
        <v>0.02958382208805312</v>
      </c>
      <c r="F14" s="21" t="n">
        <v>0.09270633459408768</v>
      </c>
      <c r="G14" s="21" t="n">
        <v>0.04083273247274839</v>
      </c>
      <c r="H14" s="21" t="n">
        <v>0.03356495659292429</v>
      </c>
      <c r="I14" s="21" t="n">
        <v>0.02828663046116074</v>
      </c>
      <c r="J14" s="21" t="n">
        <v>0.00580405307658387</v>
      </c>
      <c r="K14" s="21" t="n">
        <v>0.03412875604958446</v>
      </c>
    </row>
    <row r="15">
      <c r="A15" s="18" t="inlineStr">
        <is>
          <t>ago-23</t>
        </is>
      </c>
      <c r="B15" s="7" t="n">
        <v>0.1241946032835446</v>
      </c>
      <c r="C15" s="7" t="n">
        <v>0.07953983310629753</v>
      </c>
      <c r="D15" s="7" t="n">
        <v>0.04821250145098406</v>
      </c>
      <c r="E15" s="7" t="n">
        <v>0.02809075490986099</v>
      </c>
      <c r="F15" s="7" t="n">
        <v>0.08508826266007977</v>
      </c>
      <c r="G15" s="7" t="n">
        <v>0.0355388538210973</v>
      </c>
      <c r="H15" s="7" t="n">
        <v>0.03235748449011953</v>
      </c>
      <c r="I15" s="7" t="n">
        <v>0.0265145495375662</v>
      </c>
      <c r="J15" s="7" t="n">
        <v>0.005024315224189709</v>
      </c>
      <c r="K15" s="7" t="n">
        <v>0.03188816250727926</v>
      </c>
    </row>
    <row r="16">
      <c r="A16" s="19" t="inlineStr">
        <is>
          <t>sep-23</t>
        </is>
      </c>
      <c r="B16" s="21" t="n">
        <v>0.1153803074569548</v>
      </c>
      <c r="C16" s="21" t="n">
        <v>0.08633339205752021</v>
      </c>
      <c r="D16" s="21" t="n">
        <v>0.05072044604139626</v>
      </c>
      <c r="E16" s="21" t="n">
        <v>0.02859096781263764</v>
      </c>
      <c r="F16" s="21" t="n">
        <v>0.08832188477595616</v>
      </c>
      <c r="G16" s="21" t="n">
        <v>0.03262071766241242</v>
      </c>
      <c r="H16" s="21" t="n">
        <v>0.03153803531095894</v>
      </c>
      <c r="I16" s="21" t="n">
        <v>0.02758563443162441</v>
      </c>
      <c r="J16" s="21" t="n">
        <v>0.006287631479674522</v>
      </c>
      <c r="K16" s="21" t="n">
        <v>0.03089007174737726</v>
      </c>
    </row>
    <row r="17">
      <c r="A17" s="18" t="inlineStr">
        <is>
          <t>oct-23</t>
        </is>
      </c>
      <c r="B17" s="7" t="n">
        <v>0.1045133240223323</v>
      </c>
      <c r="C17" s="7" t="n">
        <v>0.08658366844127424</v>
      </c>
      <c r="D17" s="7" t="n">
        <v>0.05146483464610362</v>
      </c>
      <c r="E17" s="7" t="n">
        <v>0.02581639671709041</v>
      </c>
      <c r="F17" s="7" t="n">
        <v>0.08604293259610639</v>
      </c>
      <c r="G17" s="7" t="n">
        <v>0.03226889988692271</v>
      </c>
      <c r="H17" s="7" t="n">
        <v>0.03704493045090955</v>
      </c>
      <c r="I17" s="7" t="n">
        <v>0.03017981271797354</v>
      </c>
      <c r="J17" s="7" t="n">
        <v>0.006478235503077208</v>
      </c>
      <c r="K17" s="7" t="n">
        <v>0.03425307514260032</v>
      </c>
    </row>
    <row r="18">
      <c r="A18" s="19" t="inlineStr">
        <is>
          <t>nov-23</t>
        </is>
      </c>
      <c r="B18" s="21" t="n">
        <v>0.1013805880453692</v>
      </c>
      <c r="C18" s="21" t="n">
        <v>0.08361104186652187</v>
      </c>
      <c r="D18" s="21" t="n">
        <v>0.05289177340700611</v>
      </c>
      <c r="E18" s="21" t="n">
        <v>0.0239540965240847</v>
      </c>
      <c r="F18" s="21" t="n">
        <v>0.08387073356030902</v>
      </c>
      <c r="G18" s="21" t="n">
        <v>0.03147786263830235</v>
      </c>
      <c r="H18" s="21" t="n">
        <v>0.03424007453595078</v>
      </c>
      <c r="I18" s="21" t="n">
        <v>0.03312915731571466</v>
      </c>
      <c r="J18" s="21" t="n">
        <v>0.006112371386501657</v>
      </c>
      <c r="K18" s="21" t="n">
        <v>0.03283661400288179</v>
      </c>
    </row>
    <row r="19">
      <c r="A19" s="18" t="inlineStr">
        <is>
          <t>dic-23</t>
        </is>
      </c>
      <c r="B19" s="7" t="n">
        <v>0.09066839113574875</v>
      </c>
      <c r="C19" s="7" t="n">
        <v>0.08526619204112636</v>
      </c>
      <c r="D19" s="7" t="n">
        <v>0.05394289357828649</v>
      </c>
      <c r="E19" s="7" t="n">
        <v>0.02287497549484847</v>
      </c>
      <c r="F19" s="7" t="n">
        <v>0.08183801016026658</v>
      </c>
      <c r="G19" s="7" t="n">
        <v>0.03587286862906778</v>
      </c>
      <c r="H19" s="7" t="n">
        <v>0.03155796751026668</v>
      </c>
      <c r="I19" s="7" t="n">
        <v>0.03391335436453544</v>
      </c>
      <c r="J19" s="7" t="n">
        <v>0.005001773706205793</v>
      </c>
      <c r="K19" s="7" t="n">
        <v>0.03273551153640741</v>
      </c>
    </row>
    <row r="20">
      <c r="A20" s="19" t="inlineStr">
        <is>
          <t>ene-24</t>
        </is>
      </c>
      <c r="B20" s="21" t="n">
        <v>0.08697450387479572</v>
      </c>
      <c r="C20" s="21" t="n">
        <v>0.08518730027354385</v>
      </c>
      <c r="D20" s="21" t="n">
        <v>0.0557567425956447</v>
      </c>
      <c r="E20" s="21" t="n">
        <v>0.02109203027783273</v>
      </c>
      <c r="F20" s="21" t="n">
        <v>0.08093367309539107</v>
      </c>
      <c r="G20" s="21" t="n">
        <v>0.05055266051818615</v>
      </c>
      <c r="H20" s="21" t="n">
        <v>0.03242818213629012</v>
      </c>
      <c r="I20" s="21" t="n">
        <v>0.03848776752246987</v>
      </c>
      <c r="J20" s="21" t="n">
        <v>0.004280389555226883</v>
      </c>
      <c r="K20" s="21" t="n">
        <v>0.03848858941344125</v>
      </c>
    </row>
    <row r="21">
      <c r="A21" s="18" t="inlineStr">
        <is>
          <t>feb-24</t>
        </is>
      </c>
      <c r="B21" s="7" t="n">
        <v>0.08715488470879516</v>
      </c>
      <c r="C21" s="7" t="n">
        <v>0.07718158947477022</v>
      </c>
      <c r="D21" s="7" t="n">
        <v>0.0557567425956447</v>
      </c>
      <c r="E21" s="7" t="n">
        <v>0.01860002644737435</v>
      </c>
      <c r="F21" s="7" t="n">
        <v>0.07704697455907192</v>
      </c>
      <c r="G21" s="7" t="n">
        <v>0.06731978768793202</v>
      </c>
      <c r="H21" s="7" t="n">
        <v>0.03506509373839792</v>
      </c>
      <c r="I21" s="7" t="n">
        <v>0.03848776752246987</v>
      </c>
      <c r="J21" s="7" t="n">
        <v>0.005707379205498188</v>
      </c>
      <c r="K21" s="7" t="n">
        <v>0.04519435726966057</v>
      </c>
    </row>
    <row r="22">
      <c r="A22" s="19" t="inlineStr">
        <is>
          <t>mar-24</t>
        </is>
      </c>
      <c r="B22" s="21" t="n">
        <v>0.09796604024187741</v>
      </c>
      <c r="C22" s="21" t="n">
        <v>0.07992730522416949</v>
      </c>
      <c r="D22" s="21" t="n">
        <v>0.05989170952729395</v>
      </c>
      <c r="E22" s="21" t="n">
        <v>0.01314029320874156</v>
      </c>
      <c r="F22" s="21" t="n">
        <v>0.08216609490292021</v>
      </c>
      <c r="G22" s="21" t="n">
        <v>0.08592620042417612</v>
      </c>
      <c r="H22" s="21" t="n">
        <v>0.04408028360032819</v>
      </c>
      <c r="I22" s="21" t="n">
        <v>0.04917205269318435</v>
      </c>
      <c r="J22" s="21" t="n">
        <v>0.009750068770282654</v>
      </c>
      <c r="K22" s="21" t="n">
        <v>0.05745298223995041</v>
      </c>
    </row>
    <row r="23">
      <c r="A23" s="18" t="inlineStr">
        <is>
          <t>abr-24</t>
        </is>
      </c>
      <c r="B23" s="7" t="n">
        <v>0.1107781827219947</v>
      </c>
      <c r="C23" s="7" t="n">
        <v>0.07283875849287932</v>
      </c>
      <c r="D23" s="7" t="n">
        <v>0.06029137249175664</v>
      </c>
      <c r="E23" s="7" t="n">
        <v>0.01231629455873005</v>
      </c>
      <c r="F23" s="7" t="n">
        <v>0.08221215163970307</v>
      </c>
      <c r="G23" s="7" t="n">
        <v>0.083868740680237</v>
      </c>
      <c r="H23" s="7" t="n">
        <v>0.04524066250339426</v>
      </c>
      <c r="I23" s="7" t="n">
        <v>0.04811730448633723</v>
      </c>
      <c r="J23" s="7" t="n">
        <v>0.009804523797469778</v>
      </c>
      <c r="K23" s="7" t="n">
        <v>0.05704795379600577</v>
      </c>
    </row>
    <row r="24">
      <c r="A24" s="19" t="inlineStr">
        <is>
          <t>may-24</t>
        </is>
      </c>
      <c r="B24" s="21" t="n">
        <v>0.1358375642293766</v>
      </c>
      <c r="C24" s="21" t="n">
        <v>0.07875184037624783</v>
      </c>
      <c r="D24" s="21" t="n">
        <v>0.06168468908951396</v>
      </c>
      <c r="E24" s="21" t="n">
        <v>0.0145402747326522</v>
      </c>
      <c r="F24" s="21" t="n">
        <v>0.09309335078986554</v>
      </c>
      <c r="G24" s="21" t="n">
        <v>0.07485826011361973</v>
      </c>
      <c r="H24" s="21" t="n">
        <v>0.04412369872709729</v>
      </c>
      <c r="I24" s="21" t="n">
        <v>0.03717298837681215</v>
      </c>
      <c r="J24" s="21" t="n">
        <v>0.006494843571071785</v>
      </c>
      <c r="K24" s="21" t="n">
        <v>0.05207296170222598</v>
      </c>
    </row>
    <row r="25">
      <c r="A25" s="18" t="inlineStr">
        <is>
          <t>jun-24</t>
        </is>
      </c>
      <c r="B25" s="7" t="n">
        <v>0.1383147200542382</v>
      </c>
      <c r="C25" s="7" t="n">
        <v>0.08503006743121228</v>
      </c>
      <c r="D25" s="7" t="n">
        <v>0.06490393787047403</v>
      </c>
      <c r="E25" s="7" t="n">
        <v>0.01520083473745381</v>
      </c>
      <c r="F25" s="7" t="n">
        <v>0.09801989950351533</v>
      </c>
      <c r="G25" s="7" t="n">
        <v>0.0646126633320442</v>
      </c>
      <c r="H25" s="7" t="n">
        <v>0.04919264945644734</v>
      </c>
      <c r="I25" s="7" t="n">
        <v>0.03250455313522061</v>
      </c>
      <c r="J25" s="7" t="n">
        <v>0.006962684017055856</v>
      </c>
      <c r="K25" s="7" t="n">
        <v>0.05133372108036634</v>
      </c>
    </row>
    <row r="26">
      <c r="A26" s="19" t="inlineStr">
        <is>
          <t>jul-24</t>
        </is>
      </c>
      <c r="B26" s="21" t="n">
        <v>0.1458499002385841</v>
      </c>
      <c r="C26" s="21" t="n">
        <v>0.08763162198999309</v>
      </c>
      <c r="D26" s="21" t="n">
        <v>0.06389908965014345</v>
      </c>
      <c r="E26" s="21" t="n">
        <v>0.01236465334654106</v>
      </c>
      <c r="F26" s="21" t="n">
        <v>0.1017645314471727</v>
      </c>
      <c r="G26" s="21" t="n">
        <v>0.04912441704216443</v>
      </c>
      <c r="H26" s="21" t="n">
        <v>0.04134095617884256</v>
      </c>
      <c r="I26" s="21" t="n">
        <v>0.02277610893442494</v>
      </c>
      <c r="J26" s="21" t="n">
        <v>0.004911283295845187</v>
      </c>
      <c r="K26" s="21" t="n">
        <v>0.04098831020446418</v>
      </c>
    </row>
    <row r="27">
      <c r="A27" s="18" t="inlineStr">
        <is>
          <t>ago-24</t>
        </is>
      </c>
      <c r="B27" s="7" t="n">
        <v>0.1413865994663677</v>
      </c>
      <c r="C27" s="7" t="n">
        <v>0.09162987718515546</v>
      </c>
      <c r="D27" s="7" t="n">
        <v>0.06063745670510946</v>
      </c>
      <c r="E27" s="7" t="n">
        <v>0.0128596419595408</v>
      </c>
      <c r="F27" s="7" t="n">
        <v>0.1027280187282845</v>
      </c>
      <c r="G27" s="7" t="n">
        <v>0.03699980356506037</v>
      </c>
      <c r="H27" s="7" t="n">
        <v>0.03282355474064276</v>
      </c>
      <c r="I27" s="7" t="n">
        <v>0.01719297566636363</v>
      </c>
      <c r="J27" s="7" t="n">
        <v>0.003988626449176</v>
      </c>
      <c r="K27" s="7" t="n">
        <v>0.03184682260358991</v>
      </c>
    </row>
    <row r="28">
      <c r="A28" s="19" t="inlineStr">
        <is>
          <t>sep-24</t>
        </is>
      </c>
      <c r="B28" s="21" t="n">
        <v>0.1361725861863881</v>
      </c>
      <c r="C28" s="21" t="n">
        <v>0.08377841135619575</v>
      </c>
      <c r="D28" s="21" t="n">
        <v>0.0567851216491081</v>
      </c>
      <c r="E28" s="21" t="n">
        <v>0.01352088664721801</v>
      </c>
      <c r="F28" s="21" t="n">
        <v>0.0969547133819039</v>
      </c>
      <c r="G28" s="21" t="n">
        <v>0.03746232571985552</v>
      </c>
      <c r="H28" s="21" t="n">
        <v>0.04081055840753774</v>
      </c>
      <c r="I28" s="21" t="n">
        <v>0.01807077009801589</v>
      </c>
      <c r="J28" s="21" t="n">
        <v>0.004315312852951087</v>
      </c>
      <c r="K28" s="21" t="n">
        <v>0.03638162375804794</v>
      </c>
    </row>
    <row r="29">
      <c r="A29" s="18" t="inlineStr">
        <is>
          <t>oct-24</t>
        </is>
      </c>
      <c r="B29" s="7" t="n">
        <v>0.1267615103636547</v>
      </c>
      <c r="C29" s="7" t="n">
        <v>0.08382395807009983</v>
      </c>
      <c r="D29" s="7" t="n">
        <v>0.05260835480948425</v>
      </c>
      <c r="E29" s="7" t="n">
        <v>0.01243509680383252</v>
      </c>
      <c r="F29" s="7" t="n">
        <v>0.09364162480876424</v>
      </c>
      <c r="G29" s="7" t="n">
        <v>0.04705152431402306</v>
      </c>
      <c r="H29" s="7" t="n">
        <v>0.04627183219995946</v>
      </c>
      <c r="I29" s="7" t="n">
        <v>0.01964787604335432</v>
      </c>
      <c r="J29" s="7" t="n">
        <v>0.004016553761504594</v>
      </c>
      <c r="K29" s="7" t="n">
        <v>0.04266743276102514</v>
      </c>
    </row>
    <row r="30">
      <c r="A30" s="19" t="inlineStr">
        <is>
          <t>nov-24</t>
        </is>
      </c>
      <c r="B30" s="21" t="n">
        <v>0.1276808767789105</v>
      </c>
      <c r="C30" s="21" t="n">
        <v>0.09164971492654565</v>
      </c>
      <c r="D30" s="21" t="n">
        <v>0.04814255806499323</v>
      </c>
      <c r="E30" s="21" t="n">
        <v>0.01256118105732303</v>
      </c>
      <c r="F30" s="21" t="n">
        <v>0.0973437607255643</v>
      </c>
      <c r="G30" s="21" t="n">
        <v>0.05109597600454943</v>
      </c>
      <c r="H30" s="21" t="n">
        <v>0.04456342678127077</v>
      </c>
      <c r="I30" s="21" t="n">
        <v>0.02127703931467728</v>
      </c>
      <c r="J30" s="21" t="n">
        <v>0.004682876478957649</v>
      </c>
      <c r="K30" s="21" t="n">
        <v>0.04322738273168663</v>
      </c>
    </row>
    <row r="31">
      <c r="A31" s="18" t="inlineStr">
        <is>
          <t>dic-24</t>
        </is>
      </c>
      <c r="B31" s="7" t="n">
        <v>0.1252068143363741</v>
      </c>
      <c r="C31" s="7" t="n">
        <v>0.09622478254827713</v>
      </c>
      <c r="D31" s="7" t="n">
        <v>0.04551463995369167</v>
      </c>
      <c r="E31" s="7" t="n">
        <v>0.01242793503588225</v>
      </c>
      <c r="F31" s="7" t="n">
        <v>0.09840724197260767</v>
      </c>
      <c r="G31" s="7" t="n">
        <v>0.05753226864704283</v>
      </c>
      <c r="H31" s="7" t="n">
        <v>0.04822016927743801</v>
      </c>
      <c r="I31" s="7" t="n">
        <v>0.02426362253561067</v>
      </c>
      <c r="J31" s="7" t="n">
        <v>0.003753646057476212</v>
      </c>
      <c r="K31" s="7" t="n">
        <v>0.04764992931382665</v>
      </c>
    </row>
    <row r="32">
      <c r="A32" s="19" t="inlineStr">
        <is>
          <t>ene-25</t>
        </is>
      </c>
      <c r="B32" s="21" t="n">
        <v>0.1290642140969898</v>
      </c>
      <c r="C32" s="21" t="n">
        <v>0.1015455370697237</v>
      </c>
      <c r="D32" s="21" t="n">
        <v>0.03384088125583446</v>
      </c>
      <c r="E32" s="21" t="n">
        <v>0.01336396600880228</v>
      </c>
      <c r="F32" s="21" t="n">
        <v>0.09768343639396405</v>
      </c>
      <c r="G32" s="21" t="n">
        <v>0.0640236971734819</v>
      </c>
      <c r="H32" s="21" t="n">
        <v>0.04503399355184155</v>
      </c>
      <c r="I32" s="21" t="n">
        <v>0.02434760021795146</v>
      </c>
      <c r="J32" s="21" t="n">
        <v>0.004282929990442215</v>
      </c>
      <c r="K32" s="21" t="n">
        <v>0.04737257551604124</v>
      </c>
    </row>
    <row r="33">
      <c r="A33" s="18" t="inlineStr">
        <is>
          <t>feb-25</t>
        </is>
      </c>
      <c r="B33" s="7" t="n">
        <v>0.1379009266743712</v>
      </c>
      <c r="C33" s="7" t="n">
        <v>0.1112989751568796</v>
      </c>
      <c r="D33" s="7" t="n">
        <v>0.04867853647429776</v>
      </c>
      <c r="E33" s="7" t="n">
        <v>0.01406406727920831</v>
      </c>
      <c r="F33" s="7" t="n">
        <v>0.1114928732392328</v>
      </c>
      <c r="G33" s="7" t="n">
        <v>0.07284404835452511</v>
      </c>
      <c r="H33" s="7" t="n">
        <v>0.04229505183606893</v>
      </c>
      <c r="I33" s="7" t="n">
        <v>0.03505649473087536</v>
      </c>
      <c r="J33" s="7" t="n">
        <v>0.009101636812454791</v>
      </c>
      <c r="K33" s="7" t="n">
        <v>0.05252054429606787</v>
      </c>
    </row>
    <row r="34">
      <c r="A34" s="19" t="inlineStr">
        <is>
          <t>mar-25</t>
        </is>
      </c>
      <c r="B34" s="21" t="n">
        <v>0.145693432755285</v>
      </c>
      <c r="C34" s="21" t="n">
        <v>0.1143896055372296</v>
      </c>
      <c r="D34" s="21" t="n">
        <v>0.05316388090868575</v>
      </c>
      <c r="E34" s="21" t="n">
        <v>0.01537821959588803</v>
      </c>
      <c r="F34" s="21" t="n">
        <v>0.1170430855693799</v>
      </c>
      <c r="G34" s="21" t="n">
        <v>0.09733495021306109</v>
      </c>
      <c r="H34" s="21" t="n">
        <v>0.05220012873720571</v>
      </c>
      <c r="I34" s="21" t="n">
        <v>0.04934651215795396</v>
      </c>
      <c r="J34" s="21" t="n">
        <v>0.01221946218232789</v>
      </c>
      <c r="K34" s="21" t="n">
        <v>0.06882483000771061</v>
      </c>
    </row>
    <row r="35">
      <c r="A35" s="18" t="inlineStr">
        <is>
          <t>abr-25</t>
        </is>
      </c>
      <c r="B35" s="7" t="n">
        <v>0.160177395037</v>
      </c>
      <c r="C35" s="7" t="n">
        <v>0.1169182698131271</v>
      </c>
      <c r="D35" s="7" t="n">
        <v>0.06073153812839409</v>
      </c>
      <c r="E35" s="7" t="n">
        <v>0.01873120128952922</v>
      </c>
      <c r="F35" s="7" t="n">
        <v>0.1252490862612497</v>
      </c>
      <c r="G35" s="7" t="n">
        <v>0.1058996022855423</v>
      </c>
      <c r="H35" s="7" t="n">
        <v>0.05386092890005483</v>
      </c>
      <c r="I35" s="7" t="n">
        <v>0.06160514574979936</v>
      </c>
      <c r="J35" s="7" t="n">
        <v>0.0108127452586299</v>
      </c>
      <c r="K35" s="7" t="n">
        <v>0.07495635173414891</v>
      </c>
    </row>
    <row r="36">
      <c r="A36" s="19" t="inlineStr">
        <is>
          <t>may-25</t>
        </is>
      </c>
      <c r="B36" s="21" t="n">
        <v>0.1923154807732186</v>
      </c>
      <c r="C36" s="21" t="n">
        <v>0.1124514858888348</v>
      </c>
      <c r="D36" s="21" t="n">
        <v>0.07611496579529986</v>
      </c>
      <c r="E36" s="21" t="n">
        <v>0.02220366985511077</v>
      </c>
      <c r="F36" s="21" t="n">
        <v>0.1382895664823042</v>
      </c>
      <c r="G36" s="21" t="n">
        <v>0.1107391268978761</v>
      </c>
      <c r="H36" s="21" t="n">
        <v>0.0529903306223197</v>
      </c>
      <c r="I36" s="21" t="n">
        <v>0.06910567411057979</v>
      </c>
      <c r="J36" s="21" t="n">
        <v>0.0127061648769064</v>
      </c>
      <c r="K36" s="21" t="n">
        <v>0.0777879110266539</v>
      </c>
    </row>
    <row r="37">
      <c r="A37" s="18" t="inlineStr">
        <is>
          <t>jun-25</t>
        </is>
      </c>
      <c r="B37" s="7" t="n">
        <v>0.222296495032353</v>
      </c>
      <c r="C37" s="7" t="n">
        <v>0.1197571295111821</v>
      </c>
      <c r="D37" s="7" t="n">
        <v>0.09712124937337512</v>
      </c>
      <c r="E37" s="7" t="n">
        <v>0.02398924301289291</v>
      </c>
      <c r="F37" s="7" t="n">
        <v>0.1565998455197799</v>
      </c>
      <c r="G37" s="7" t="n">
        <v>0.1285159704748743</v>
      </c>
      <c r="H37" s="7" t="n">
        <v>0.0658602658677169</v>
      </c>
      <c r="I37" s="7" t="n">
        <v>0.07524174036612841</v>
      </c>
      <c r="J37" s="7" t="n">
        <v>0.01398725438099164</v>
      </c>
      <c r="K37" s="7" t="n">
        <v>0.091545076969821</v>
      </c>
    </row>
    <row r="38">
      <c r="A38" s="19" t="inlineStr">
        <is>
          <t>jul-25</t>
        </is>
      </c>
      <c r="B38" s="21" t="n">
        <v>0.2580195940757982</v>
      </c>
      <c r="C38" s="21" t="n">
        <v>0.1253743545206453</v>
      </c>
      <c r="D38" s="21" t="n">
        <v>0.1129346310599715</v>
      </c>
      <c r="E38" s="21" t="n">
        <v>0.02558230920176596</v>
      </c>
      <c r="F38" s="21" t="n">
        <v>0.1751923578444662</v>
      </c>
      <c r="G38" s="21" t="n">
        <v>0.1267970419681571</v>
      </c>
      <c r="H38" s="21" t="n">
        <v>0.06547846156766861</v>
      </c>
      <c r="I38" s="21" t="n">
        <v>0.06552686774134164</v>
      </c>
      <c r="J38" s="21" t="n">
        <v>0.01230668416804119</v>
      </c>
      <c r="K38" s="21" t="n">
        <v>0.08924750806447207</v>
      </c>
    </row>
    <row r="39">
      <c r="A39" s="18" t="inlineStr">
        <is>
          <t>ago-25</t>
        </is>
      </c>
      <c r="B39" s="7" t="n">
        <v>0.2956163447177577</v>
      </c>
      <c r="C39" s="7" t="n">
        <v>0.1429525790806077</v>
      </c>
      <c r="D39" s="7" t="n">
        <v>0.1278103330552416</v>
      </c>
      <c r="E39" s="7" t="n">
        <v>0.03026998055048445</v>
      </c>
      <c r="F39" s="7" t="n">
        <v>0.2006690925361718</v>
      </c>
      <c r="G39" s="7" t="n">
        <v>0.1034075367625693</v>
      </c>
      <c r="H39" s="7" t="n">
        <v>0.06046661771003166</v>
      </c>
      <c r="I39" s="7" t="n">
        <v>0.05816847963510197</v>
      </c>
      <c r="J39" s="7" t="n">
        <v>0.01365803328942801</v>
      </c>
      <c r="K39" s="7" t="n">
        <v>0.07686592001807317</v>
      </c>
    </row>
    <row r="40">
      <c r="A40" s="19" t="inlineStr">
        <is>
          <t>sep-25</t>
        </is>
      </c>
      <c r="B40" s="21" t="n">
        <v>0.3237469253566691</v>
      </c>
      <c r="C40" s="21" t="n">
        <v>0.1558084743304609</v>
      </c>
      <c r="D40" s="21" t="n">
        <v>0.1408071843679737</v>
      </c>
      <c r="E40" s="21" t="n">
        <v>0.03467349188621273</v>
      </c>
      <c r="F40" s="21" t="n">
        <v>0.2197459066399716</v>
      </c>
      <c r="G40" s="21" t="n">
        <v>0.1024461056269442</v>
      </c>
      <c r="H40" s="21" t="n">
        <v>0.07336793641414313</v>
      </c>
      <c r="I40" s="21" t="n">
        <v>0.06975859086980693</v>
      </c>
      <c r="J40" s="21" t="n">
        <v>0.01433230203981469</v>
      </c>
      <c r="K40" s="21" t="n">
        <v>0.08403168523734214</v>
      </c>
    </row>
    <row r="41">
      <c r="A41" s="18" t="inlineStr">
        <is>
          <t>oct-25</t>
        </is>
      </c>
      <c r="B41" s="7" t="n">
        <v>0.3379229228683225</v>
      </c>
      <c r="C41" s="7" t="n">
        <v>0.1727206957459119</v>
      </c>
      <c r="D41" s="7" t="n">
        <v>0.1544344608054179</v>
      </c>
      <c r="E41" s="7" t="n">
        <v>0.04026220661235803</v>
      </c>
      <c r="F41" s="7" t="n">
        <v>0.2352240308564511</v>
      </c>
      <c r="G41" s="7" t="n">
        <v>0.1142828352540139</v>
      </c>
      <c r="H41" s="7" t="n">
        <v>0.07994643845080197</v>
      </c>
      <c r="I41" s="7" t="n">
        <v>0.08575069505014249</v>
      </c>
      <c r="J41" s="7" t="n">
        <v>0.01473515918405681</v>
      </c>
      <c r="K41" s="7" t="n">
        <v>0.09405300843111127</v>
      </c>
    </row>
    <row r="42">
      <c r="A42" s="19" t="inlineStr">
        <is>
          <t>nov-25</t>
        </is>
      </c>
      <c r="B42" s="21" t="n">
        <v>0.3705194346999252</v>
      </c>
      <c r="C42" s="21" t="n">
        <v>0.1834777825253931</v>
      </c>
      <c r="D42" s="21" t="n">
        <v>0.1726915274463094</v>
      </c>
      <c r="E42" s="21" t="n">
        <v>0.044427722305093</v>
      </c>
      <c r="F42" s="21" t="n">
        <v>0.2566722703647882</v>
      </c>
      <c r="G42" s="21" t="n">
        <v>0.1240934010756833</v>
      </c>
      <c r="H42" s="21" t="n">
        <v>0.09144650041996778</v>
      </c>
      <c r="I42" s="21" t="n">
        <v>0.08682266544999458</v>
      </c>
      <c r="J42" s="21" t="n">
        <v>0.01860295721838311</v>
      </c>
      <c r="K42" s="21" t="n">
        <v>0.1035057088419116</v>
      </c>
    </row>
    <row r="43">
      <c r="A43" s="18" t="inlineStr">
        <is>
          <t>dic-25</t>
        </is>
      </c>
      <c r="B43" s="7" t="n">
        <v>0.4032450169630662</v>
      </c>
      <c r="C43" s="7" t="n">
        <v>0.2015912547003256</v>
      </c>
      <c r="D43" s="7" t="n">
        <v>0.1897566490287946</v>
      </c>
      <c r="E43" s="7" t="n">
        <v>0.04867996558614628</v>
      </c>
      <c r="F43" s="7" t="n">
        <v>0.2812596595715761</v>
      </c>
      <c r="G43" s="7" t="n">
        <v>0.1212297499411044</v>
      </c>
      <c r="H43" s="7" t="n">
        <v>0.09006361791337809</v>
      </c>
      <c r="I43" s="7" t="n">
        <v>0.08750474873248233</v>
      </c>
      <c r="J43" s="7" t="n">
        <v>0.01177912814775107</v>
      </c>
      <c r="K43" s="7" t="n">
        <v>0.1018773773354391</v>
      </c>
    </row>
    <row r="44">
      <c r="A44" s="19" t="inlineStr">
        <is>
          <t>ene-26</t>
        </is>
      </c>
      <c r="B44" s="21" t="n">
        <v>0.4541463162585417</v>
      </c>
      <c r="C44" s="21" t="n">
        <v>0.2294400384838137</v>
      </c>
      <c r="D44" s="21" t="n">
        <v>0.2197323262986757</v>
      </c>
      <c r="E44" s="21" t="n">
        <v>0.05516115684057117</v>
      </c>
      <c r="F44" s="21" t="n">
        <v>0.3211417604237494</v>
      </c>
      <c r="G44" s="21" t="n">
        <v>0.09109313706496271</v>
      </c>
      <c r="H44" s="21" t="n">
        <v>0.07546455819084355</v>
      </c>
      <c r="I44" s="21" t="n">
        <v>0.07461289102352968</v>
      </c>
      <c r="J44" s="21" t="n">
        <v>0.01376713494275637</v>
      </c>
      <c r="K44" s="21" t="n">
        <v>0.0814938076129765</v>
      </c>
    </row>
    <row r="45">
      <c r="A45" s="18" t="inlineStr">
        <is>
          <t>feb-26</t>
        </is>
      </c>
      <c r="B45" s="7" t="n">
        <v>0.4865912321966144</v>
      </c>
      <c r="C45" s="7" t="n">
        <v>0.2591671376356965</v>
      </c>
      <c r="D45" s="7" t="n">
        <v>0.2361390934493586</v>
      </c>
      <c r="E45" s="7" t="n">
        <v>0.06021563773015039</v>
      </c>
      <c r="F45" s="7" t="n">
        <v>0.3505658459248587</v>
      </c>
      <c r="G45" s="7" t="n">
        <v>0.07604504598637396</v>
      </c>
      <c r="H45" s="7" t="n">
        <v>0.07164187370560174</v>
      </c>
      <c r="I45" s="7" t="n">
        <v>0.08108143811993643</v>
      </c>
      <c r="J45" s="7" t="n">
        <v>0.01621677962609152</v>
      </c>
      <c r="K45" s="7" t="n">
        <v>0.07454399694731627</v>
      </c>
    </row>
    <row r="46">
      <c r="A46" s="19" t="inlineStr">
        <is>
          <t>mar-26</t>
        </is>
      </c>
      <c r="B46" s="21" t="n">
        <v>0.5033309802990478</v>
      </c>
      <c r="C46" s="21" t="n">
        <v>0.2718856771668163</v>
      </c>
      <c r="D46" s="21" t="n">
        <v>0.2489734142452342</v>
      </c>
      <c r="E46" s="21" t="n">
        <v>0.062251836020576</v>
      </c>
      <c r="F46" s="21" t="n">
        <v>0.365452702708742</v>
      </c>
      <c r="G46" s="21" t="n">
        <v>0.08076309646053498</v>
      </c>
      <c r="H46" s="21" t="n">
        <v>0.06994408452418958</v>
      </c>
      <c r="I46" s="21" t="n">
        <v>0.08871683892344989</v>
      </c>
      <c r="J46" s="21" t="n">
        <v>0.01803142604120254</v>
      </c>
      <c r="K46" s="21" t="n">
        <v>0.07698108898399357</v>
      </c>
    </row>
    <row r="47">
      <c r="A47" s="18" t="inlineStr">
        <is>
          <t>abr-26</t>
        </is>
      </c>
      <c r="B47" s="7" t="n">
        <v>0.5098682557206022</v>
      </c>
      <c r="C47" s="7" t="n">
        <v>0.2756218663274384</v>
      </c>
      <c r="D47" s="7" t="n">
        <v>0.2711670391667311</v>
      </c>
      <c r="E47" s="7" t="n">
        <v>0.06456914188113395</v>
      </c>
      <c r="F47" s="7" t="n">
        <v>0.3714112163614484</v>
      </c>
      <c r="G47" s="7" t="n">
        <v>0.07361323481043891</v>
      </c>
      <c r="H47" s="7" t="n">
        <v>0.05680934876616907</v>
      </c>
      <c r="I47" s="7" t="n">
        <v>0.07790075222941242</v>
      </c>
      <c r="J47" s="7" t="n">
        <v>0.02045938907385195</v>
      </c>
      <c r="K47" s="7" t="n">
        <v>0.0667367505808671</v>
      </c>
    </row>
    <row r="48">
      <c r="A48" s="19" t="inlineStr">
        <is>
          <t>may-26</t>
        </is>
      </c>
      <c r="B48" s="21" t="n">
        <v>0.5319962771493868</v>
      </c>
      <c r="C48" s="21" t="n">
        <v>0.2856376092332516</v>
      </c>
      <c r="D48" s="21" t="n">
        <v>0.2893612923987419</v>
      </c>
      <c r="E48" s="21" t="n">
        <v>0.07270341742156819</v>
      </c>
      <c r="F48" s="21" t="n">
        <v>0.388157581778531</v>
      </c>
      <c r="G48" s="21" t="n">
        <v>0.05874449449279726</v>
      </c>
      <c r="H48" s="21" t="n">
        <v>0.05192972501018241</v>
      </c>
      <c r="I48" s="21" t="n">
        <v>0.06447071879738295</v>
      </c>
      <c r="J48" s="21" t="n">
        <v>0.01950674030074927</v>
      </c>
      <c r="K48" s="21" t="n">
        <v>0.05648453256583181</v>
      </c>
    </row>
    <row r="49">
      <c r="A49" s="18" t="inlineStr">
        <is>
          <t>jun-26</t>
        </is>
      </c>
      <c r="B49" s="7" t="n">
        <v>0.5407405239163696</v>
      </c>
      <c r="C49" s="7" t="n">
        <v>0.2889437028717593</v>
      </c>
      <c r="D49" s="7" t="n">
        <v>0.2997305653032448</v>
      </c>
      <c r="E49" s="7" t="n">
        <v>0.07751415309412239</v>
      </c>
      <c r="F49" s="7" t="n">
        <v>0.3940371803791899</v>
      </c>
      <c r="G49" s="7" t="n">
        <v>0.05472376473701639</v>
      </c>
      <c r="H49" s="7" t="n">
        <v>0.05019570352278761</v>
      </c>
      <c r="I49" s="7" t="n">
        <v>0.05951939524395283</v>
      </c>
      <c r="J49" s="7" t="n">
        <v>0.01703935426798659</v>
      </c>
      <c r="K49" s="7" t="n">
        <v>0.05329448700420481</v>
      </c>
    </row>
    <row r="50">
      <c r="A50" s="19" t="inlineStr">
        <is>
          <t>jul-26</t>
        </is>
      </c>
      <c r="B50" s="21" t="n">
        <v>0.5490504246525157</v>
      </c>
      <c r="C50" s="21" t="n">
        <v>0.2971982901610591</v>
      </c>
      <c r="D50" s="21" t="n">
        <v>0.316011372460677</v>
      </c>
      <c r="E50" s="21" t="n">
        <v>0.08215967001242752</v>
      </c>
      <c r="F50" s="21" t="n">
        <v>0.4030359498757773</v>
      </c>
      <c r="G50" s="21" t="n">
        <v>0.04996144629380739</v>
      </c>
      <c r="H50" s="21" t="n">
        <v>0.04149110783905568</v>
      </c>
      <c r="I50" s="21" t="n">
        <v>0.05114282644831313</v>
      </c>
      <c r="J50" s="21" t="n">
        <v>0.01472919042056383</v>
      </c>
      <c r="K50" s="21" t="n">
        <v>0.04629015487080337</v>
      </c>
    </row>
    <row r="51">
      <c r="A51" s="18" t="inlineStr">
        <is>
          <t>ago-26</t>
        </is>
      </c>
      <c r="B51" s="7" t="n">
        <v>0.5460845663668001</v>
      </c>
      <c r="C51" s="7" t="n">
        <v>0.3012927349123537</v>
      </c>
      <c r="D51" s="7" t="n">
        <v>0.3246337314365294</v>
      </c>
      <c r="E51" s="7" t="n">
        <v>0.08578152440407734</v>
      </c>
      <c r="F51" s="7" t="n">
        <v>0.4040550469054097</v>
      </c>
      <c r="G51" s="7" t="n">
        <v>0.04662818370318596</v>
      </c>
      <c r="H51" s="7" t="n">
        <v>0.04124578612317895</v>
      </c>
      <c r="I51" s="7" t="n">
        <v>0.04473611549934368</v>
      </c>
      <c r="J51" s="7" t="n">
        <v>0.01258324996063349</v>
      </c>
      <c r="K51" s="7" t="n">
        <v>0.04381464345212899</v>
      </c>
    </row>
    <row r="53">
      <c r="A53" s="15" t="inlineStr">
        <is>
          <t>Fuente: EcoGo en base a BCRA, Central de Deudores del Sistema Financiero (24DSF). El saldo incluye irrecuperables fuera de balance (otros conceptos): ver "Control componentes". último dato: ago-26.</t>
        </is>
      </c>
    </row>
    <row r="54">
      <c r="A54" s="16" t="inlineStr">
        <is>
          <t>www.ecogo.com.ar</t>
        </is>
      </c>
    </row>
  </sheetData>
  <mergeCells count="3">
    <mergeCell ref="A2:K2"/>
    <mergeCell ref="A53:K53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3C9794"/>
    <outlinePr summaryBelow="1" summaryRight="1"/>
    <pageSetUpPr/>
  </sheetPr>
  <dimension ref="A1:O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25" t="inlineStr">
        <is>
          <t>Saldo de financiaciones de las cadenas de electrodomésticos</t>
        </is>
      </c>
    </row>
    <row r="2">
      <c r="A2" s="26" t="inlineStr">
        <is>
          <t>Millones de pesos corrientes y pesos constantes de sep-26 (IPC INDEC) · Central de Deudores · último dato: ago-26</t>
        </is>
      </c>
    </row>
    <row r="3">
      <c r="B3" s="38" t="inlineStr">
        <is>
          <t>Pesos corrientes ($ millones)</t>
        </is>
      </c>
      <c r="I3" s="38" t="inlineStr">
        <is>
          <t>Pesos constantes de sep-26 ($ millones)</t>
        </is>
      </c>
    </row>
    <row r="4" ht="44" customHeight="1">
      <c r="A4" s="3" t="inlineStr">
        <is>
          <t>Mes</t>
        </is>
      </c>
      <c r="B4" s="3" t="inlineStr">
        <is>
          <t>Electrónica Megatone S.R.L.</t>
        </is>
      </c>
      <c r="C4" s="3" t="inlineStr">
        <is>
          <t>Naldo Lombardi S.A.</t>
        </is>
      </c>
      <c r="D4" s="3" t="inlineStr">
        <is>
          <t>Cetrogar S.A.</t>
        </is>
      </c>
      <c r="E4" s="3" t="inlineStr">
        <is>
          <t>Frávega S.A.C.I. e I.</t>
        </is>
      </c>
      <c r="F4" s="3" t="inlineStr">
        <is>
          <t>Favanet S.A.</t>
        </is>
      </c>
      <c r="G4" s="3" t="inlineStr">
        <is>
          <t>Carsa S.A.</t>
        </is>
      </c>
      <c r="H4" s="3" t="inlineStr">
        <is>
          <t>Total electro</t>
        </is>
      </c>
      <c r="I4" s="3" t="inlineStr">
        <is>
          <t>Electrónica Megatone S.R.L.</t>
        </is>
      </c>
      <c r="J4" s="3" t="inlineStr">
        <is>
          <t>Naldo Lombardi S.A.</t>
        </is>
      </c>
      <c r="K4" s="3" t="inlineStr">
        <is>
          <t>Cetrogar S.A.</t>
        </is>
      </c>
      <c r="L4" s="3" t="inlineStr">
        <is>
          <t>Frávega S.A.C.I. e I.</t>
        </is>
      </c>
      <c r="M4" s="3" t="inlineStr">
        <is>
          <t>Favanet S.A.</t>
        </is>
      </c>
      <c r="N4" s="3" t="inlineStr">
        <is>
          <t>Carsa S.A.</t>
        </is>
      </c>
      <c r="O4" s="3" t="inlineStr">
        <is>
          <t>Total electro</t>
        </is>
      </c>
    </row>
    <row r="5">
      <c r="A5" s="39" t="inlineStr">
        <is>
          <t>oct-22</t>
        </is>
      </c>
      <c r="B5" s="28" t="n">
        <v>28209.25</v>
      </c>
      <c r="C5" s="28" t="n">
        <v>18948.782</v>
      </c>
      <c r="D5" s="28" t="n">
        <v>9112.152999999998</v>
      </c>
      <c r="E5" s="28" t="n">
        <v>1792.97</v>
      </c>
      <c r="F5" s="28" t="n">
        <v>1352.193</v>
      </c>
      <c r="G5" s="28" t="n">
        <v>4647.116999999999</v>
      </c>
      <c r="H5" s="28" t="n">
        <v>64062.465</v>
      </c>
      <c r="I5" s="28" t="n">
        <v>343163.9442706663</v>
      </c>
      <c r="J5" s="28" t="n">
        <v>230510.8703792198</v>
      </c>
      <c r="K5" s="28" t="n">
        <v>110848.8302339759</v>
      </c>
      <c r="L5" s="28" t="n">
        <v>21811.37949995042</v>
      </c>
      <c r="M5" s="28" t="n">
        <v>16449.35201379636</v>
      </c>
      <c r="N5" s="28" t="n">
        <v>56531.91769392187</v>
      </c>
      <c r="O5" s="28" t="n">
        <v>779316.2940915305</v>
      </c>
    </row>
    <row r="6">
      <c r="A6" s="40" t="inlineStr">
        <is>
          <t>nov-22</t>
        </is>
      </c>
      <c r="B6" s="41" t="n">
        <v>30436.688</v>
      </c>
      <c r="C6" s="41" t="n">
        <v>20331.785</v>
      </c>
      <c r="D6" s="41" t="n">
        <v>9053.769</v>
      </c>
      <c r="E6" s="41" t="n">
        <v>2116.918</v>
      </c>
      <c r="F6" s="41" t="n">
        <v>1574.763</v>
      </c>
      <c r="G6" s="41" t="n">
        <v>4946.717</v>
      </c>
      <c r="H6" s="41" t="n">
        <v>68460.64</v>
      </c>
      <c r="I6" s="41" t="n">
        <v>352910.979790994</v>
      </c>
      <c r="J6" s="41" t="n">
        <v>235745.4321327549</v>
      </c>
      <c r="K6" s="41" t="n">
        <v>104977.7324192214</v>
      </c>
      <c r="L6" s="41" t="n">
        <v>24545.49606439411</v>
      </c>
      <c r="M6" s="41" t="n">
        <v>18259.25190246078</v>
      </c>
      <c r="N6" s="41" t="n">
        <v>57356.79070005141</v>
      </c>
      <c r="O6" s="41" t="n">
        <v>793795.6830098766</v>
      </c>
    </row>
    <row r="7">
      <c r="A7" s="39" t="inlineStr">
        <is>
          <t>dic-22</t>
        </is>
      </c>
      <c r="B7" s="28" t="n">
        <v>33607.406</v>
      </c>
      <c r="C7" s="28" t="n">
        <v>22657.595</v>
      </c>
      <c r="D7" s="28" t="n">
        <v>8997.178999999998</v>
      </c>
      <c r="E7" s="28" t="n">
        <v>3052.191</v>
      </c>
      <c r="F7" s="28" t="n">
        <v>1696.183</v>
      </c>
      <c r="G7" s="28" t="n">
        <v>5550.319</v>
      </c>
      <c r="H7" s="28" t="n">
        <v>75560.87300000001</v>
      </c>
      <c r="I7" s="28" t="n">
        <v>370679.3408889353</v>
      </c>
      <c r="J7" s="28" t="n">
        <v>249906.2968658883</v>
      </c>
      <c r="K7" s="28" t="n">
        <v>99236.11425350024</v>
      </c>
      <c r="L7" s="28" t="n">
        <v>33664.72699937449</v>
      </c>
      <c r="M7" s="28" t="n">
        <v>18708.3762569184</v>
      </c>
      <c r="N7" s="28" t="n">
        <v>61218.30969767005</v>
      </c>
      <c r="O7" s="28" t="n">
        <v>833413.1649622867</v>
      </c>
    </row>
    <row r="8">
      <c r="A8" s="40" t="inlineStr">
        <is>
          <t>ene-23</t>
        </is>
      </c>
      <c r="B8" s="41" t="n">
        <v>35121.369</v>
      </c>
      <c r="C8" s="41" t="n">
        <v>24345.735</v>
      </c>
      <c r="D8" s="41" t="n">
        <v>9112.069</v>
      </c>
      <c r="E8" s="41" t="n">
        <v>3909.219</v>
      </c>
      <c r="F8" s="41" t="n">
        <v>1836.586</v>
      </c>
      <c r="G8" s="41" t="n">
        <v>5855.653</v>
      </c>
      <c r="H8" s="41" t="n">
        <v>80180.63099999999</v>
      </c>
      <c r="I8" s="41" t="n">
        <v>365354.7634401309</v>
      </c>
      <c r="J8" s="41" t="n">
        <v>253259.7818638879</v>
      </c>
      <c r="K8" s="41" t="n">
        <v>94789.522980871</v>
      </c>
      <c r="L8" s="41" t="n">
        <v>40666.17628090367</v>
      </c>
      <c r="M8" s="41" t="n">
        <v>19105.33281226755</v>
      </c>
      <c r="N8" s="41" t="n">
        <v>60914.21768332815</v>
      </c>
      <c r="O8" s="41" t="n">
        <v>834089.7950613893</v>
      </c>
    </row>
    <row r="9">
      <c r="A9" s="39" t="inlineStr">
        <is>
          <t>feb-23</t>
        </is>
      </c>
      <c r="B9" s="28" t="n">
        <v>36043.408</v>
      </c>
      <c r="C9" s="28" t="n">
        <v>25462.385</v>
      </c>
      <c r="D9" s="28" t="n">
        <v>8997.09</v>
      </c>
      <c r="E9" s="28" t="n">
        <v>3031.07</v>
      </c>
      <c r="F9" s="28" t="n">
        <v>2145.197</v>
      </c>
      <c r="G9" s="28" t="n">
        <v>6020.333</v>
      </c>
      <c r="H9" s="28" t="n">
        <v>81699.48300000001</v>
      </c>
      <c r="I9" s="28" t="n">
        <v>351640.6354783999</v>
      </c>
      <c r="J9" s="28" t="n">
        <v>248411.8383643322</v>
      </c>
      <c r="K9" s="28" t="n">
        <v>87775.89635964383</v>
      </c>
      <c r="L9" s="28" t="n">
        <v>29571.21537950889</v>
      </c>
      <c r="M9" s="28" t="n">
        <v>20928.6101998556</v>
      </c>
      <c r="N9" s="28" t="n">
        <v>58734.56033656921</v>
      </c>
      <c r="O9" s="28" t="n">
        <v>797062.7561183096</v>
      </c>
    </row>
    <row r="10">
      <c r="A10" s="40" t="inlineStr">
        <is>
          <t>mar-23</t>
        </is>
      </c>
      <c r="B10" s="41" t="n">
        <v>37688.802</v>
      </c>
      <c r="C10" s="41" t="n">
        <v>26811.562</v>
      </c>
      <c r="D10" s="41" t="n">
        <v>8420.413999999999</v>
      </c>
      <c r="E10" s="41" t="n">
        <v>2273.429</v>
      </c>
      <c r="F10" s="41" t="n">
        <v>2656.633</v>
      </c>
      <c r="G10" s="41" t="n">
        <v>6240.111</v>
      </c>
      <c r="H10" s="41" t="n">
        <v>84090.95100000002</v>
      </c>
      <c r="I10" s="41" t="n">
        <v>341483.4758833111</v>
      </c>
      <c r="J10" s="41" t="n">
        <v>242929.0638004599</v>
      </c>
      <c r="K10" s="41" t="n">
        <v>76294.0737966809</v>
      </c>
      <c r="L10" s="41" t="n">
        <v>20598.64988794072</v>
      </c>
      <c r="M10" s="41" t="n">
        <v>24070.71126819867</v>
      </c>
      <c r="N10" s="41" t="n">
        <v>56539.20212634205</v>
      </c>
      <c r="O10" s="41" t="n">
        <v>761915.1767629334</v>
      </c>
    </row>
    <row r="11">
      <c r="A11" s="39" t="inlineStr">
        <is>
          <t>abr-23</t>
        </is>
      </c>
      <c r="B11" s="28" t="n">
        <v>38976.363</v>
      </c>
      <c r="C11" s="28" t="n">
        <v>28383.91</v>
      </c>
      <c r="D11" s="28" t="n">
        <v>8420.338</v>
      </c>
      <c r="E11" s="28" t="n">
        <v>2675.468</v>
      </c>
      <c r="F11" s="28" t="n">
        <v>3055.082</v>
      </c>
      <c r="G11" s="28" t="n">
        <v>6388.299</v>
      </c>
      <c r="H11" s="28" t="n">
        <v>87899.45999999999</v>
      </c>
      <c r="I11" s="28" t="n">
        <v>325775.6447472365</v>
      </c>
      <c r="J11" s="28" t="n">
        <v>237240.8780341443</v>
      </c>
      <c r="K11" s="28" t="n">
        <v>70379.60522226397</v>
      </c>
      <c r="L11" s="28" t="n">
        <v>22362.33054122057</v>
      </c>
      <c r="M11" s="28" t="n">
        <v>25535.25346389238</v>
      </c>
      <c r="N11" s="28" t="n">
        <v>53395.2392008235</v>
      </c>
      <c r="O11" s="28" t="n">
        <v>734688.9512095812</v>
      </c>
    </row>
    <row r="12">
      <c r="A12" s="40" t="inlineStr">
        <is>
          <t>may-23</t>
        </is>
      </c>
      <c r="B12" s="41" t="n">
        <v>40459.264</v>
      </c>
      <c r="C12" s="41" t="n">
        <v>29738.565</v>
      </c>
      <c r="D12" s="41" t="n">
        <v>8010.733999999999</v>
      </c>
      <c r="E12" s="41" t="n">
        <v>3812.525</v>
      </c>
      <c r="F12" s="41" t="n">
        <v>3350.603</v>
      </c>
      <c r="G12" s="41" t="n">
        <v>6510.869</v>
      </c>
      <c r="H12" s="41" t="n">
        <v>91882.56</v>
      </c>
      <c r="I12" s="41" t="n">
        <v>313780.7546175846</v>
      </c>
      <c r="J12" s="41" t="n">
        <v>230636.656340167</v>
      </c>
      <c r="K12" s="41" t="n">
        <v>62127.03621006903</v>
      </c>
      <c r="L12" s="41" t="n">
        <v>29567.93706129718</v>
      </c>
      <c r="M12" s="41" t="n">
        <v>25985.51317601682</v>
      </c>
      <c r="N12" s="41" t="n">
        <v>50494.87276971323</v>
      </c>
      <c r="O12" s="41" t="n">
        <v>712592.7701748481</v>
      </c>
    </row>
    <row r="13">
      <c r="A13" s="39" t="inlineStr">
        <is>
          <t>jun-23</t>
        </is>
      </c>
      <c r="B13" s="28" t="n">
        <v>42029.15500000001</v>
      </c>
      <c r="C13" s="28" t="n">
        <v>31684.234</v>
      </c>
      <c r="D13" s="28" t="n">
        <v>8010.733999999999</v>
      </c>
      <c r="E13" s="28" t="n">
        <v>2742.869</v>
      </c>
      <c r="F13" s="28" t="n">
        <v>3559.372</v>
      </c>
      <c r="G13" s="28" t="n">
        <v>6686.191</v>
      </c>
      <c r="H13" s="28" t="n">
        <v>94712.55500000002</v>
      </c>
      <c r="I13" s="28" t="n">
        <v>307648.3655301653</v>
      </c>
      <c r="J13" s="28" t="n">
        <v>231924.786571971</v>
      </c>
      <c r="K13" s="28" t="n">
        <v>58637.61053004568</v>
      </c>
      <c r="L13" s="28" t="n">
        <v>20077.47157213507</v>
      </c>
      <c r="M13" s="28" t="n">
        <v>26054.17544354235</v>
      </c>
      <c r="N13" s="28" t="n">
        <v>48942.11489078238</v>
      </c>
      <c r="O13" s="28" t="n">
        <v>693284.5245386418</v>
      </c>
    </row>
    <row r="14">
      <c r="A14" s="40" t="inlineStr">
        <is>
          <t>jul-23</t>
        </is>
      </c>
      <c r="B14" s="41" t="n">
        <v>43839.526</v>
      </c>
      <c r="C14" s="41" t="n">
        <v>34098.849</v>
      </c>
      <c r="D14" s="41" t="n">
        <v>8010.820000000001</v>
      </c>
      <c r="E14" s="41" t="n">
        <v>2567.574</v>
      </c>
      <c r="F14" s="41" t="n">
        <v>3787.983</v>
      </c>
      <c r="G14" s="41" t="n">
        <v>6848.034000000001</v>
      </c>
      <c r="H14" s="41" t="n">
        <v>99152.78600000001</v>
      </c>
      <c r="I14" s="41" t="n">
        <v>301754.2092199055</v>
      </c>
      <c r="J14" s="41" t="n">
        <v>234707.6292591294</v>
      </c>
      <c r="K14" s="41" t="n">
        <v>55139.70781305901</v>
      </c>
      <c r="L14" s="41" t="n">
        <v>17673.00727620982</v>
      </c>
      <c r="M14" s="41" t="n">
        <v>26073.27037941618</v>
      </c>
      <c r="N14" s="41" t="n">
        <v>47136.07269341887</v>
      </c>
      <c r="O14" s="41" t="n">
        <v>682483.8966411387</v>
      </c>
    </row>
    <row r="15">
      <c r="A15" s="39" t="inlineStr">
        <is>
          <t>ago-23</t>
        </is>
      </c>
      <c r="B15" s="28" t="n">
        <v>45304.81</v>
      </c>
      <c r="C15" s="28" t="n">
        <v>36007.875</v>
      </c>
      <c r="D15" s="28" t="n">
        <v>6255.387</v>
      </c>
      <c r="E15" s="28" t="n">
        <v>3859.89</v>
      </c>
      <c r="F15" s="28" t="n">
        <v>4125.783</v>
      </c>
      <c r="G15" s="28" t="n">
        <v>6944.057</v>
      </c>
      <c r="H15" s="28" t="n">
        <v>102497.802</v>
      </c>
      <c r="I15" s="28" t="n">
        <v>277334.972133679</v>
      </c>
      <c r="J15" s="28" t="n">
        <v>220423.4607697945</v>
      </c>
      <c r="K15" s="28" t="n">
        <v>38292.56936140726</v>
      </c>
      <c r="L15" s="28" t="n">
        <v>23628.45105385203</v>
      </c>
      <c r="M15" s="28" t="n">
        <v>25256.12431295057</v>
      </c>
      <c r="N15" s="28" t="n">
        <v>42508.28674901579</v>
      </c>
      <c r="O15" s="28" t="n">
        <v>627443.8643806991</v>
      </c>
    </row>
    <row r="16">
      <c r="A16" s="40" t="inlineStr">
        <is>
          <t>sep-23</t>
        </is>
      </c>
      <c r="B16" s="41" t="n">
        <v>46365.923</v>
      </c>
      <c r="C16" s="41" t="n">
        <v>37368.158</v>
      </c>
      <c r="D16" s="41" t="n">
        <v>6255.299</v>
      </c>
      <c r="E16" s="41" t="n">
        <v>5846.642</v>
      </c>
      <c r="F16" s="41" t="n">
        <v>4388.826</v>
      </c>
      <c r="G16" s="41" t="n">
        <v>7108.975</v>
      </c>
      <c r="H16" s="41" t="n">
        <v>107333.823</v>
      </c>
      <c r="I16" s="41" t="n">
        <v>251735.0255610091</v>
      </c>
      <c r="J16" s="41" t="n">
        <v>202883.3591708684</v>
      </c>
      <c r="K16" s="41" t="n">
        <v>33961.96499003706</v>
      </c>
      <c r="L16" s="41" t="n">
        <v>31743.23895840635</v>
      </c>
      <c r="M16" s="41" t="n">
        <v>23828.30220575618</v>
      </c>
      <c r="N16" s="41" t="n">
        <v>38596.83766755974</v>
      </c>
      <c r="O16" s="41" t="n">
        <v>582748.7285536368</v>
      </c>
    </row>
    <row r="17">
      <c r="A17" s="39" t="inlineStr">
        <is>
          <t>oct-23</t>
        </is>
      </c>
      <c r="B17" s="28" t="n">
        <v>46843.492</v>
      </c>
      <c r="C17" s="28" t="n">
        <v>40153.534</v>
      </c>
      <c r="D17" s="28" t="n">
        <v>5575.08</v>
      </c>
      <c r="E17" s="28" t="n">
        <v>2544.871</v>
      </c>
      <c r="F17" s="28" t="n">
        <v>5248.429</v>
      </c>
      <c r="G17" s="28" t="n">
        <v>7364.976000000001</v>
      </c>
      <c r="H17" s="28" t="n">
        <v>107730.382</v>
      </c>
      <c r="I17" s="28" t="n">
        <v>234832.6977404289</v>
      </c>
      <c r="J17" s="28" t="n">
        <v>201295.0425009313</v>
      </c>
      <c r="K17" s="28" t="n">
        <v>27948.62254331318</v>
      </c>
      <c r="L17" s="28" t="n">
        <v>12757.77908127308</v>
      </c>
      <c r="M17" s="28" t="n">
        <v>26311.07734173835</v>
      </c>
      <c r="N17" s="28" t="n">
        <v>36921.61085842006</v>
      </c>
      <c r="O17" s="28" t="n">
        <v>540066.8300661049</v>
      </c>
    </row>
    <row r="18">
      <c r="A18" s="40" t="inlineStr">
        <is>
          <t>nov-23</t>
        </is>
      </c>
      <c r="B18" s="41" t="n">
        <v>46291.669</v>
      </c>
      <c r="C18" s="41" t="n">
        <v>42820.332</v>
      </c>
      <c r="D18" s="41" t="n">
        <v>4336.933</v>
      </c>
      <c r="E18" s="41" t="n">
        <v>3765.691</v>
      </c>
      <c r="F18" s="41" t="n">
        <v>5730.931</v>
      </c>
      <c r="G18" s="41" t="n">
        <v>7367.667</v>
      </c>
      <c r="H18" s="41" t="n">
        <v>110313.223</v>
      </c>
      <c r="I18" s="41" t="n">
        <v>205713.0709761462</v>
      </c>
      <c r="J18" s="41" t="n">
        <v>190286.982220022</v>
      </c>
      <c r="K18" s="41" t="n">
        <v>19272.66450574056</v>
      </c>
      <c r="L18" s="41" t="n">
        <v>16734.15274694967</v>
      </c>
      <c r="M18" s="41" t="n">
        <v>25467.37763035496</v>
      </c>
      <c r="N18" s="41" t="n">
        <v>32740.78116517272</v>
      </c>
      <c r="O18" s="41" t="n">
        <v>490215.0292443861</v>
      </c>
    </row>
    <row r="19">
      <c r="A19" s="39" t="inlineStr">
        <is>
          <t>dic-23</t>
        </is>
      </c>
      <c r="B19" s="28" t="n">
        <v>44575.49000000001</v>
      </c>
      <c r="C19" s="28" t="n">
        <v>45926.587</v>
      </c>
      <c r="D19" s="28" t="n">
        <v>4336.933</v>
      </c>
      <c r="E19" s="28" t="n">
        <v>6286.953</v>
      </c>
      <c r="F19" s="28" t="n">
        <v>5923.092</v>
      </c>
      <c r="G19" s="28" t="n">
        <v>7690.558</v>
      </c>
      <c r="H19" s="28" t="n">
        <v>114739.613</v>
      </c>
      <c r="I19" s="28" t="n">
        <v>157881.1375854085</v>
      </c>
      <c r="J19" s="28" t="n">
        <v>162666.5640910561</v>
      </c>
      <c r="K19" s="28" t="n">
        <v>15360.90608699306</v>
      </c>
      <c r="L19" s="28" t="n">
        <v>22267.64734579466</v>
      </c>
      <c r="M19" s="28" t="n">
        <v>20978.89452214731</v>
      </c>
      <c r="N19" s="28" t="n">
        <v>27239.0510055316</v>
      </c>
      <c r="O19" s="28" t="n">
        <v>406394.2006369313</v>
      </c>
    </row>
    <row r="20">
      <c r="A20" s="40" t="inlineStr">
        <is>
          <t>ene-24</t>
        </is>
      </c>
      <c r="B20" s="41" t="n">
        <v>44382.123</v>
      </c>
      <c r="C20" s="41" t="n">
        <v>46767.91</v>
      </c>
      <c r="D20" s="41" t="n">
        <v>3335.233</v>
      </c>
      <c r="E20" s="41" t="n">
        <v>5340.590999999999</v>
      </c>
      <c r="F20" s="41" t="n">
        <v>6378.491999999999</v>
      </c>
      <c r="G20" s="41" t="n">
        <v>7842.190000000001</v>
      </c>
      <c r="H20" s="41" t="n">
        <v>114046.539</v>
      </c>
      <c r="I20" s="41" t="n">
        <v>130330.7708661618</v>
      </c>
      <c r="J20" s="41" t="n">
        <v>137336.7777404266</v>
      </c>
      <c r="K20" s="41" t="n">
        <v>9794.112100231469</v>
      </c>
      <c r="L20" s="41" t="n">
        <v>15682.96635811869</v>
      </c>
      <c r="M20" s="41" t="n">
        <v>18730.82500635776</v>
      </c>
      <c r="N20" s="41" t="n">
        <v>23029.06212888701</v>
      </c>
      <c r="O20" s="41" t="n">
        <v>334904.5142001833</v>
      </c>
    </row>
    <row r="21">
      <c r="A21" s="39" t="inlineStr">
        <is>
          <t>feb-24</t>
        </is>
      </c>
      <c r="B21" s="28" t="n">
        <v>45336.474</v>
      </c>
      <c r="C21" s="28" t="n">
        <v>47221.034</v>
      </c>
      <c r="D21" s="28" t="n">
        <v>2983.777</v>
      </c>
      <c r="E21" s="28" t="n">
        <v>7705.535</v>
      </c>
      <c r="F21" s="28" t="n">
        <v>7526.004999999999</v>
      </c>
      <c r="G21" s="28" t="n">
        <v>8050.68</v>
      </c>
      <c r="H21" s="28" t="n">
        <v>118823.505</v>
      </c>
      <c r="I21" s="28" t="n">
        <v>117565.7655536677</v>
      </c>
      <c r="J21" s="28" t="n">
        <v>122452.7741713167</v>
      </c>
      <c r="K21" s="28" t="n">
        <v>7737.479258894854</v>
      </c>
      <c r="L21" s="28" t="n">
        <v>19981.86099068005</v>
      </c>
      <c r="M21" s="28" t="n">
        <v>19516.30687877779</v>
      </c>
      <c r="N21" s="28" t="n">
        <v>20876.88507552663</v>
      </c>
      <c r="O21" s="28" t="n">
        <v>308131.0719288636</v>
      </c>
    </row>
    <row r="22">
      <c r="A22" s="40" t="inlineStr">
        <is>
          <t>mar-24</t>
        </is>
      </c>
      <c r="B22" s="41" t="n">
        <v>47421.215</v>
      </c>
      <c r="C22" s="41" t="n">
        <v>51474.932</v>
      </c>
      <c r="D22" s="41" t="n">
        <v>14448.053</v>
      </c>
      <c r="E22" s="41" t="n">
        <v>11737.965</v>
      </c>
      <c r="F22" s="41" t="n">
        <v>8623.723</v>
      </c>
      <c r="G22" s="41" t="n">
        <v>8384.468000000001</v>
      </c>
      <c r="H22" s="41" t="n">
        <v>142090.356</v>
      </c>
      <c r="I22" s="41" t="n">
        <v>110775.7970053538</v>
      </c>
      <c r="J22" s="41" t="n">
        <v>120245.266134501</v>
      </c>
      <c r="K22" s="41" t="n">
        <v>33750.60268385348</v>
      </c>
      <c r="L22" s="41" t="n">
        <v>27419.84633029642</v>
      </c>
      <c r="M22" s="41" t="n">
        <v>20144.9876068844</v>
      </c>
      <c r="N22" s="41" t="n">
        <v>19586.08874036409</v>
      </c>
      <c r="O22" s="41" t="n">
        <v>331922.5885012531</v>
      </c>
    </row>
    <row r="23">
      <c r="A23" s="39" t="inlineStr">
        <is>
          <t>abr-24</t>
        </is>
      </c>
      <c r="B23" s="28" t="n">
        <v>51196.683</v>
      </c>
      <c r="C23" s="28" t="n">
        <v>56882.205</v>
      </c>
      <c r="D23" s="28" t="n">
        <v>14503.027</v>
      </c>
      <c r="E23" s="28" t="n">
        <v>20210.742</v>
      </c>
      <c r="F23" s="28" t="n">
        <v>9464.308000000001</v>
      </c>
      <c r="G23" s="28" t="n">
        <v>8890.108</v>
      </c>
      <c r="H23" s="28" t="n">
        <v>161147.073</v>
      </c>
      <c r="I23" s="28" t="n">
        <v>109889.8894559007</v>
      </c>
      <c r="J23" s="28" t="n">
        <v>122093.4414727196</v>
      </c>
      <c r="K23" s="28" t="n">
        <v>31129.67365104381</v>
      </c>
      <c r="L23" s="28" t="n">
        <v>43380.86129919254</v>
      </c>
      <c r="M23" s="28" t="n">
        <v>20314.43638441569</v>
      </c>
      <c r="N23" s="28" t="n">
        <v>19081.95859819704</v>
      </c>
      <c r="O23" s="28" t="n">
        <v>345890.2608614694</v>
      </c>
    </row>
    <row r="24">
      <c r="A24" s="40" t="inlineStr">
        <is>
          <t>may-24</t>
        </is>
      </c>
      <c r="B24" s="41" t="n">
        <v>55393.893</v>
      </c>
      <c r="C24" s="41" t="n">
        <v>65582.61899999999</v>
      </c>
      <c r="D24" s="41" t="n">
        <v>14579.587</v>
      </c>
      <c r="E24" s="41" t="n">
        <v>23070.788</v>
      </c>
      <c r="F24" s="41" t="n">
        <v>10225.619</v>
      </c>
      <c r="G24" s="41" t="n">
        <v>9509.306999999999</v>
      </c>
      <c r="H24" s="41" t="n">
        <v>178361.813</v>
      </c>
      <c r="I24" s="41" t="n">
        <v>114132.3488511629</v>
      </c>
      <c r="J24" s="41" t="n">
        <v>135124.9739800903</v>
      </c>
      <c r="K24" s="41" t="n">
        <v>30039.45777181394</v>
      </c>
      <c r="L24" s="41" t="n">
        <v>47534.54003110457</v>
      </c>
      <c r="M24" s="41" t="n">
        <v>21068.63864807407</v>
      </c>
      <c r="N24" s="41" t="n">
        <v>19592.7652865417</v>
      </c>
      <c r="O24" s="41" t="n">
        <v>367492.7245687875</v>
      </c>
    </row>
    <row r="25">
      <c r="A25" s="39" t="inlineStr">
        <is>
          <t>jun-24</t>
        </is>
      </c>
      <c r="B25" s="28" t="n">
        <v>64063.343</v>
      </c>
      <c r="C25" s="28" t="n">
        <v>75160.147</v>
      </c>
      <c r="D25" s="28" t="n">
        <v>15538.261</v>
      </c>
      <c r="E25" s="28" t="n">
        <v>26941.47</v>
      </c>
      <c r="F25" s="28" t="n">
        <v>10653.249</v>
      </c>
      <c r="G25" s="28" t="n">
        <v>10349.496</v>
      </c>
      <c r="H25" s="28" t="n">
        <v>202705.966</v>
      </c>
      <c r="I25" s="28" t="n">
        <v>126217.6275482981</v>
      </c>
      <c r="J25" s="28" t="n">
        <v>148080.5558417601</v>
      </c>
      <c r="K25" s="28" t="n">
        <v>30613.48889717237</v>
      </c>
      <c r="L25" s="28" t="n">
        <v>53080.09646114855</v>
      </c>
      <c r="M25" s="28" t="n">
        <v>20989.03603049998</v>
      </c>
      <c r="N25" s="28" t="n">
        <v>20390.58173159338</v>
      </c>
      <c r="O25" s="28" t="n">
        <v>399371.3865104724</v>
      </c>
    </row>
    <row r="26">
      <c r="A26" s="40" t="inlineStr">
        <is>
          <t>jul-24</t>
        </is>
      </c>
      <c r="B26" s="41" t="n">
        <v>74728.47199999999</v>
      </c>
      <c r="C26" s="41" t="n">
        <v>89205.864</v>
      </c>
      <c r="D26" s="41" t="n">
        <v>23334.088</v>
      </c>
      <c r="E26" s="41" t="n">
        <v>30163.517</v>
      </c>
      <c r="F26" s="41" t="n">
        <v>11255.999</v>
      </c>
      <c r="G26" s="41" t="n">
        <v>10780.359</v>
      </c>
      <c r="H26" s="41" t="n">
        <v>239468.299</v>
      </c>
      <c r="I26" s="41" t="n">
        <v>141525.2793862759</v>
      </c>
      <c r="J26" s="41" t="n">
        <v>168943.4359837323</v>
      </c>
      <c r="K26" s="41" t="n">
        <v>44191.50070971539</v>
      </c>
      <c r="L26" s="41" t="n">
        <v>57125.48452345823</v>
      </c>
      <c r="M26" s="41" t="n">
        <v>21317.28858642582</v>
      </c>
      <c r="N26" s="41" t="n">
        <v>20416.49291797848</v>
      </c>
      <c r="O26" s="41" t="n">
        <v>453519.4821075861</v>
      </c>
    </row>
    <row r="27">
      <c r="A27" s="39" t="inlineStr">
        <is>
          <t>ago-24</t>
        </is>
      </c>
      <c r="B27" s="28" t="n">
        <v>79354.35699999999</v>
      </c>
      <c r="C27" s="28" t="n">
        <v>104713.523</v>
      </c>
      <c r="D27" s="28" t="n">
        <v>26241.508</v>
      </c>
      <c r="E27" s="28" t="n">
        <v>35315.221</v>
      </c>
      <c r="F27" s="28" t="n">
        <v>12540.271</v>
      </c>
      <c r="G27" s="28" t="n">
        <v>12063.591</v>
      </c>
      <c r="H27" s="28" t="n">
        <v>270228.471</v>
      </c>
      <c r="I27" s="28" t="n">
        <v>144266.8516054202</v>
      </c>
      <c r="J27" s="28" t="n">
        <v>190370.0169068443</v>
      </c>
      <c r="K27" s="28" t="n">
        <v>47707.27006884382</v>
      </c>
      <c r="L27" s="28" t="n">
        <v>64203.35240596328</v>
      </c>
      <c r="M27" s="28" t="n">
        <v>22798.31232768674</v>
      </c>
      <c r="N27" s="28" t="n">
        <v>21931.70429980906</v>
      </c>
      <c r="O27" s="28" t="n">
        <v>491277.5076145674</v>
      </c>
    </row>
    <row r="28">
      <c r="A28" s="40" t="inlineStr">
        <is>
          <t>sep-24</t>
        </is>
      </c>
      <c r="B28" s="41" t="n">
        <v>89366.952</v>
      </c>
      <c r="C28" s="41" t="n">
        <v>120012.165</v>
      </c>
      <c r="D28" s="41" t="n">
        <v>28134.462</v>
      </c>
      <c r="E28" s="41" t="n">
        <v>42361.373</v>
      </c>
      <c r="F28" s="41" t="n">
        <v>13667.516</v>
      </c>
      <c r="G28" s="41" t="n">
        <v>13680.814</v>
      </c>
      <c r="H28" s="41" t="n">
        <v>307223.282</v>
      </c>
      <c r="I28" s="41" t="n">
        <v>157022.3952179836</v>
      </c>
      <c r="J28" s="41" t="n">
        <v>210867.6326299666</v>
      </c>
      <c r="K28" s="41" t="n">
        <v>49433.71696742372</v>
      </c>
      <c r="L28" s="41" t="n">
        <v>74431.14153856807</v>
      </c>
      <c r="M28" s="41" t="n">
        <v>24014.53838327299</v>
      </c>
      <c r="N28" s="41" t="n">
        <v>24037.90366277372</v>
      </c>
      <c r="O28" s="41" t="n">
        <v>539807.3283999887</v>
      </c>
    </row>
    <row r="29">
      <c r="A29" s="39" t="inlineStr">
        <is>
          <t>oct-24</t>
        </is>
      </c>
      <c r="B29" s="28" t="n">
        <v>104282.077</v>
      </c>
      <c r="C29" s="28" t="n">
        <v>140380.389</v>
      </c>
      <c r="D29" s="28" t="n">
        <v>32206.23</v>
      </c>
      <c r="E29" s="28" t="n">
        <v>49011.41899999999</v>
      </c>
      <c r="F29" s="28" t="n">
        <v>14991.546</v>
      </c>
      <c r="G29" s="28" t="n">
        <v>15628.255</v>
      </c>
      <c r="H29" s="28" t="n">
        <v>356499.916</v>
      </c>
      <c r="I29" s="28" t="n">
        <v>178426.2796334179</v>
      </c>
      <c r="J29" s="28" t="n">
        <v>240190.3688853644</v>
      </c>
      <c r="K29" s="28" t="n">
        <v>55104.7501663989</v>
      </c>
      <c r="L29" s="28" t="n">
        <v>83858.37147954589</v>
      </c>
      <c r="M29" s="28" t="n">
        <v>25650.48429878557</v>
      </c>
      <c r="N29" s="28" t="n">
        <v>26739.8912356949</v>
      </c>
      <c r="O29" s="28" t="n">
        <v>609970.1456992076</v>
      </c>
    </row>
    <row r="30">
      <c r="A30" s="40" t="inlineStr">
        <is>
          <t>nov-24</t>
        </is>
      </c>
      <c r="B30" s="41" t="n">
        <v>117128.512</v>
      </c>
      <c r="C30" s="41" t="n">
        <v>158813.267</v>
      </c>
      <c r="D30" s="41" t="n">
        <v>40628.127</v>
      </c>
      <c r="E30" s="41" t="n">
        <v>55575.30100000001</v>
      </c>
      <c r="F30" s="41" t="n">
        <v>17375.421</v>
      </c>
      <c r="G30" s="41" t="n">
        <v>16833.136</v>
      </c>
      <c r="H30" s="41" t="n">
        <v>406353.7639999999</v>
      </c>
      <c r="I30" s="41" t="n">
        <v>195658.7177915838</v>
      </c>
      <c r="J30" s="41" t="n">
        <v>265291.5132185104</v>
      </c>
      <c r="K30" s="41" t="n">
        <v>67867.7386006033</v>
      </c>
      <c r="L30" s="41" t="n">
        <v>92836.4234196139</v>
      </c>
      <c r="M30" s="41" t="n">
        <v>29024.97893893639</v>
      </c>
      <c r="N30" s="41" t="n">
        <v>28119.11250243962</v>
      </c>
      <c r="O30" s="41" t="n">
        <v>678798.4844716873</v>
      </c>
    </row>
    <row r="31">
      <c r="A31" s="39" t="inlineStr">
        <is>
          <t>dic-24</t>
        </is>
      </c>
      <c r="B31" s="28" t="n">
        <v>137848.247</v>
      </c>
      <c r="C31" s="28" t="n">
        <v>190072.781</v>
      </c>
      <c r="D31" s="28" t="n">
        <v>49265.159</v>
      </c>
      <c r="E31" s="28" t="n">
        <v>63129.90700000001</v>
      </c>
      <c r="F31" s="28" t="n">
        <v>19182.424</v>
      </c>
      <c r="G31" s="28" t="n">
        <v>18663.911</v>
      </c>
      <c r="H31" s="28" t="n">
        <v>478162.4289999999</v>
      </c>
      <c r="I31" s="28" t="n">
        <v>224207.4433217862</v>
      </c>
      <c r="J31" s="28" t="n">
        <v>309149.6134373894</v>
      </c>
      <c r="K31" s="28" t="n">
        <v>80128.80529580681</v>
      </c>
      <c r="L31" s="28" t="n">
        <v>102679.5432923578</v>
      </c>
      <c r="M31" s="28" t="n">
        <v>31199.83268089344</v>
      </c>
      <c r="N31" s="28" t="n">
        <v>30356.48155681923</v>
      </c>
      <c r="O31" s="28" t="n">
        <v>777721.719585053</v>
      </c>
    </row>
    <row r="32">
      <c r="A32" s="40" t="inlineStr">
        <is>
          <t>ene-25</t>
        </is>
      </c>
      <c r="B32" s="41" t="n">
        <v>152731.882</v>
      </c>
      <c r="C32" s="41" t="n">
        <v>211034.794</v>
      </c>
      <c r="D32" s="41" t="n">
        <v>56849.18</v>
      </c>
      <c r="E32" s="41" t="n">
        <v>69932.349</v>
      </c>
      <c r="F32" s="41" t="n">
        <v>21636.164</v>
      </c>
      <c r="G32" s="41" t="n">
        <v>19889.186</v>
      </c>
      <c r="H32" s="41" t="n">
        <v>532073.5549999999</v>
      </c>
      <c r="I32" s="41" t="n">
        <v>243041.6140621717</v>
      </c>
      <c r="J32" s="41" t="n">
        <v>335818.7975254433</v>
      </c>
      <c r="K32" s="41" t="n">
        <v>90463.86572589296</v>
      </c>
      <c r="L32" s="41" t="n">
        <v>111283.0586093288</v>
      </c>
      <c r="M32" s="41" t="n">
        <v>34429.53856008828</v>
      </c>
      <c r="N32" s="41" t="n">
        <v>31649.57967206053</v>
      </c>
      <c r="O32" s="41" t="n">
        <v>846686.4541549856</v>
      </c>
    </row>
    <row r="33">
      <c r="A33" s="39" t="inlineStr">
        <is>
          <t>feb-25</t>
        </is>
      </c>
      <c r="B33" s="28" t="n">
        <v>165442.042</v>
      </c>
      <c r="C33" s="28" t="n">
        <v>218287.722</v>
      </c>
      <c r="D33" s="28" t="n">
        <v>63124.546</v>
      </c>
      <c r="E33" s="28" t="n">
        <v>76691.11900000001</v>
      </c>
      <c r="F33" s="28" t="n">
        <v>24039.885</v>
      </c>
      <c r="G33" s="28" t="n">
        <v>20777.1</v>
      </c>
      <c r="H33" s="28" t="n">
        <v>568362.4139999999</v>
      </c>
      <c r="I33" s="28" t="n">
        <v>257092.8273966936</v>
      </c>
      <c r="J33" s="28" t="n">
        <v>339213.7026147407</v>
      </c>
      <c r="K33" s="28" t="n">
        <v>98093.97788545578</v>
      </c>
      <c r="L33" s="28" t="n">
        <v>119176.0956379291</v>
      </c>
      <c r="M33" s="28" t="n">
        <v>37357.38467820268</v>
      </c>
      <c r="N33" s="28" t="n">
        <v>32287.09776263426</v>
      </c>
      <c r="O33" s="28" t="n">
        <v>883221.0859756563</v>
      </c>
    </row>
    <row r="34">
      <c r="A34" s="40" t="inlineStr">
        <is>
          <t>mar-25</t>
        </is>
      </c>
      <c r="B34" s="41" t="n">
        <v>177502.125</v>
      </c>
      <c r="C34" s="41" t="n">
        <v>225052.614</v>
      </c>
      <c r="D34" s="41" t="n">
        <v>68459.93699999999</v>
      </c>
      <c r="E34" s="41" t="n">
        <v>82393.89599999999</v>
      </c>
      <c r="F34" s="41" t="n">
        <v>25738.931</v>
      </c>
      <c r="G34" s="41" t="n">
        <v>21299.533</v>
      </c>
      <c r="H34" s="41" t="n">
        <v>600447.036</v>
      </c>
      <c r="I34" s="41" t="n">
        <v>265916.961929112</v>
      </c>
      <c r="J34" s="41" t="n">
        <v>337152.6250127155</v>
      </c>
      <c r="K34" s="41" t="n">
        <v>102560.2282840186</v>
      </c>
      <c r="L34" s="41" t="n">
        <v>123434.7729967921</v>
      </c>
      <c r="M34" s="41" t="n">
        <v>38559.6416652648</v>
      </c>
      <c r="N34" s="41" t="n">
        <v>31908.9537991101</v>
      </c>
      <c r="O34" s="41" t="n">
        <v>899533.1836870132</v>
      </c>
    </row>
    <row r="35">
      <c r="A35" s="39" t="inlineStr">
        <is>
          <t>abr-25</t>
        </is>
      </c>
      <c r="B35" s="28" t="n">
        <v>185189.265</v>
      </c>
      <c r="C35" s="28" t="n">
        <v>229602.42</v>
      </c>
      <c r="D35" s="28" t="n">
        <v>72100.602</v>
      </c>
      <c r="E35" s="28" t="n">
        <v>87602.87599999999</v>
      </c>
      <c r="F35" s="28" t="n">
        <v>27575.374</v>
      </c>
      <c r="G35" s="28" t="n">
        <v>21808.019</v>
      </c>
      <c r="H35" s="28" t="n">
        <v>623878.5559999999</v>
      </c>
      <c r="I35" s="28" t="n">
        <v>269926.8872672195</v>
      </c>
      <c r="J35" s="28" t="n">
        <v>334662.3063686806</v>
      </c>
      <c r="K35" s="28" t="n">
        <v>105091.8964873729</v>
      </c>
      <c r="L35" s="28" t="n">
        <v>127687.5937400378</v>
      </c>
      <c r="M35" s="28" t="n">
        <v>40193.12279817848</v>
      </c>
      <c r="N35" s="28" t="n">
        <v>31786.7814105444</v>
      </c>
      <c r="O35" s="28" t="n">
        <v>909348.5880720337</v>
      </c>
    </row>
    <row r="36">
      <c r="A36" s="40" t="inlineStr">
        <is>
          <t>may-25</t>
        </is>
      </c>
      <c r="B36" s="41" t="n">
        <v>195243.295</v>
      </c>
      <c r="C36" s="41" t="n">
        <v>234417.516</v>
      </c>
      <c r="D36" s="41" t="n">
        <v>76176.307</v>
      </c>
      <c r="E36" s="41" t="n">
        <v>93152.531</v>
      </c>
      <c r="F36" s="41" t="n">
        <v>28965.669</v>
      </c>
      <c r="G36" s="41" t="n">
        <v>22496.267</v>
      </c>
      <c r="H36" s="41" t="n">
        <v>650451.585</v>
      </c>
      <c r="I36" s="41" t="n">
        <v>280372.6723422294</v>
      </c>
      <c r="J36" s="41" t="n">
        <v>336627.5159653873</v>
      </c>
      <c r="K36" s="41" t="n">
        <v>109390.4646648792</v>
      </c>
      <c r="L36" s="41" t="n">
        <v>133768.6093236255</v>
      </c>
      <c r="M36" s="41" t="n">
        <v>41595.19036856283</v>
      </c>
      <c r="N36" s="41" t="n">
        <v>32305.01972687107</v>
      </c>
      <c r="O36" s="41" t="n">
        <v>934059.4723915553</v>
      </c>
    </row>
    <row r="37">
      <c r="A37" s="39" t="inlineStr">
        <is>
          <t>jun-25</t>
        </is>
      </c>
      <c r="B37" s="28" t="n">
        <v>207795.165</v>
      </c>
      <c r="C37" s="28" t="n">
        <v>239166.196</v>
      </c>
      <c r="D37" s="28" t="n">
        <v>80305.61500000001</v>
      </c>
      <c r="E37" s="28" t="n">
        <v>96086.867</v>
      </c>
      <c r="F37" s="28" t="n">
        <v>29438.155</v>
      </c>
      <c r="G37" s="28" t="n">
        <v>23129.456</v>
      </c>
      <c r="H37" s="28" t="n">
        <v>675921.454</v>
      </c>
      <c r="I37" s="28" t="n">
        <v>293643.5021397307</v>
      </c>
      <c r="J37" s="28" t="n">
        <v>337975.1371350592</v>
      </c>
      <c r="K37" s="28" t="n">
        <v>113483.0159791489</v>
      </c>
      <c r="L37" s="28" t="n">
        <v>135784.122481938</v>
      </c>
      <c r="M37" s="28" t="n">
        <v>41600.21206813076</v>
      </c>
      <c r="N37" s="28" t="n">
        <v>32685.14193978867</v>
      </c>
      <c r="O37" s="28" t="n">
        <v>955171.1317437963</v>
      </c>
    </row>
    <row r="38">
      <c r="A38" s="40" t="inlineStr">
        <is>
          <t>jul-25</t>
        </is>
      </c>
      <c r="B38" s="41" t="n">
        <v>222568.225</v>
      </c>
      <c r="C38" s="41" t="n">
        <v>243700.149</v>
      </c>
      <c r="D38" s="41" t="n">
        <v>84191.361</v>
      </c>
      <c r="E38" s="41" t="n">
        <v>99079.387</v>
      </c>
      <c r="F38" s="41" t="n">
        <v>30134.678</v>
      </c>
      <c r="G38" s="41" t="n">
        <v>23761.01</v>
      </c>
      <c r="H38" s="41" t="n">
        <v>703434.8099999999</v>
      </c>
      <c r="I38" s="41" t="n">
        <v>308650.3395941379</v>
      </c>
      <c r="J38" s="41" t="n">
        <v>337955.4010820367</v>
      </c>
      <c r="K38" s="41" t="n">
        <v>116753.8275669973</v>
      </c>
      <c r="L38" s="41" t="n">
        <v>137400.0553957287</v>
      </c>
      <c r="M38" s="41" t="n">
        <v>41789.78647226034</v>
      </c>
      <c r="N38" s="41" t="n">
        <v>32950.9920187381</v>
      </c>
      <c r="O38" s="41" t="n">
        <v>975500.402129899</v>
      </c>
    </row>
    <row r="39">
      <c r="A39" s="39" t="inlineStr">
        <is>
          <t>ago-25</t>
        </is>
      </c>
      <c r="B39" s="28" t="n">
        <v>237303.508</v>
      </c>
      <c r="C39" s="28" t="n">
        <v>246459.944</v>
      </c>
      <c r="D39" s="28" t="n">
        <v>88045.44900000001</v>
      </c>
      <c r="E39" s="28" t="n">
        <v>103183.585</v>
      </c>
      <c r="F39" s="28" t="n">
        <v>31443.568</v>
      </c>
      <c r="G39" s="28" t="n">
        <v>24137.319</v>
      </c>
      <c r="H39" s="28" t="n">
        <v>730573.373</v>
      </c>
      <c r="I39" s="28" t="n">
        <v>323025.4578447454</v>
      </c>
      <c r="J39" s="28" t="n">
        <v>335489.5042301284</v>
      </c>
      <c r="K39" s="28" t="n">
        <v>119850.4047161881</v>
      </c>
      <c r="L39" s="28" t="n">
        <v>140456.940850142</v>
      </c>
      <c r="M39" s="28" t="n">
        <v>42802.03455514187</v>
      </c>
      <c r="N39" s="28" t="n">
        <v>32856.52448559536</v>
      </c>
      <c r="O39" s="28" t="n">
        <v>994480.8666819412</v>
      </c>
    </row>
    <row r="40">
      <c r="A40" s="40" t="inlineStr">
        <is>
          <t>sep-25</t>
        </is>
      </c>
      <c r="B40" s="41" t="n">
        <v>246509.735</v>
      </c>
      <c r="C40" s="41" t="n">
        <v>244692.369</v>
      </c>
      <c r="D40" s="41" t="n">
        <v>89732.283</v>
      </c>
      <c r="E40" s="41" t="n">
        <v>105666.974</v>
      </c>
      <c r="F40" s="41" t="n">
        <v>33158.355</v>
      </c>
      <c r="G40" s="41" t="n">
        <v>24034.235</v>
      </c>
      <c r="H40" s="41" t="n">
        <v>743793.9510000001</v>
      </c>
      <c r="I40" s="41" t="n">
        <v>328732.9164837103</v>
      </c>
      <c r="J40" s="41" t="n">
        <v>326309.3690911567</v>
      </c>
      <c r="K40" s="41" t="n">
        <v>119662.4348053908</v>
      </c>
      <c r="L40" s="41" t="n">
        <v>140912.1328982338</v>
      </c>
      <c r="M40" s="41" t="n">
        <v>44218.3053945201</v>
      </c>
      <c r="N40" s="41" t="n">
        <v>32050.84037352467</v>
      </c>
      <c r="O40" s="41" t="n">
        <v>991885.9990465364</v>
      </c>
    </row>
    <row r="41">
      <c r="A41" s="39" t="inlineStr">
        <is>
          <t>oct-25</t>
        </is>
      </c>
      <c r="B41" s="28" t="n">
        <v>253556.703</v>
      </c>
      <c r="C41" s="28" t="n">
        <v>245843.913</v>
      </c>
      <c r="D41" s="28" t="n">
        <v>93109.56899999999</v>
      </c>
      <c r="E41" s="28" t="n">
        <v>109758.32</v>
      </c>
      <c r="F41" s="28" t="n">
        <v>35150.014</v>
      </c>
      <c r="G41" s="28" t="n">
        <v>24375.802</v>
      </c>
      <c r="H41" s="28" t="n">
        <v>761794.321</v>
      </c>
      <c r="I41" s="28" t="n">
        <v>330392.7855871916</v>
      </c>
      <c r="J41" s="28" t="n">
        <v>320342.7646545995</v>
      </c>
      <c r="K41" s="28" t="n">
        <v>121324.8535840633</v>
      </c>
      <c r="L41" s="28" t="n">
        <v>143018.7277919068</v>
      </c>
      <c r="M41" s="28" t="n">
        <v>45801.63293450294</v>
      </c>
      <c r="N41" s="28" t="n">
        <v>31762.47769597255</v>
      </c>
      <c r="O41" s="28" t="n">
        <v>992643.2422482366</v>
      </c>
    </row>
    <row r="42">
      <c r="A42" s="40" t="inlineStr">
        <is>
          <t>nov-25</t>
        </is>
      </c>
      <c r="B42" s="41" t="n">
        <v>271940.386</v>
      </c>
      <c r="C42" s="41" t="n">
        <v>245395.042</v>
      </c>
      <c r="D42" s="41" t="n">
        <v>96819.41399999999</v>
      </c>
      <c r="E42" s="41" t="n">
        <v>112591.818</v>
      </c>
      <c r="F42" s="41" t="n">
        <v>36037.815</v>
      </c>
      <c r="G42" s="41" t="n">
        <v>24634.672</v>
      </c>
      <c r="H42" s="41" t="n">
        <v>787419.1469999999</v>
      </c>
      <c r="I42" s="41" t="n">
        <v>345796.0745290032</v>
      </c>
      <c r="J42" s="41" t="n">
        <v>312041.339209101</v>
      </c>
      <c r="K42" s="41" t="n">
        <v>123114.3847070895</v>
      </c>
      <c r="L42" s="41" t="n">
        <v>143170.3810572806</v>
      </c>
      <c r="M42" s="41" t="n">
        <v>45825.24554334651</v>
      </c>
      <c r="N42" s="41" t="n">
        <v>31325.14813342049</v>
      </c>
      <c r="O42" s="41" t="n">
        <v>1001272.573179241</v>
      </c>
    </row>
    <row r="43">
      <c r="A43" s="39" t="inlineStr">
        <is>
          <t>dic-25</t>
        </is>
      </c>
      <c r="B43" s="28" t="n">
        <v>291726.581</v>
      </c>
      <c r="C43" s="28" t="n">
        <v>256209.952</v>
      </c>
      <c r="D43" s="28" t="n">
        <v>103183.553</v>
      </c>
      <c r="E43" s="28" t="n">
        <v>115442.578</v>
      </c>
      <c r="F43" s="28" t="n">
        <v>35113.99</v>
      </c>
      <c r="G43" s="28" t="n">
        <v>24634.672</v>
      </c>
      <c r="H43" s="28" t="n">
        <v>826311.326</v>
      </c>
      <c r="I43" s="28" t="n">
        <v>360693.2545655909</v>
      </c>
      <c r="J43" s="28" t="n">
        <v>316780.1889090588</v>
      </c>
      <c r="K43" s="28" t="n">
        <v>127577.0326503472</v>
      </c>
      <c r="L43" s="28" t="n">
        <v>142734.1966286647</v>
      </c>
      <c r="M43" s="28" t="n">
        <v>43415.23933289992</v>
      </c>
      <c r="N43" s="28" t="n">
        <v>30458.52040077155</v>
      </c>
      <c r="O43" s="28" t="n">
        <v>1021658.432487333</v>
      </c>
    </row>
    <row r="44">
      <c r="A44" s="40" t="inlineStr">
        <is>
          <t>ene-26</t>
        </is>
      </c>
      <c r="B44" s="41" t="n">
        <v>302533.903</v>
      </c>
      <c r="C44" s="41" t="n">
        <v>260470.492</v>
      </c>
      <c r="D44" s="41" t="n">
        <v>108902.869</v>
      </c>
      <c r="E44" s="41" t="n">
        <v>116145.835</v>
      </c>
      <c r="F44" s="41" t="n">
        <v>34224.935</v>
      </c>
      <c r="G44" s="41" t="n">
        <v>26407.114</v>
      </c>
      <c r="H44" s="41" t="n">
        <v>848685.148</v>
      </c>
      <c r="I44" s="41" t="n">
        <v>363578.5700256179</v>
      </c>
      <c r="J44" s="41" t="n">
        <v>313027.6907022521</v>
      </c>
      <c r="K44" s="41" t="n">
        <v>130877.065314254</v>
      </c>
      <c r="L44" s="41" t="n">
        <v>139581.5020564203</v>
      </c>
      <c r="M44" s="41" t="n">
        <v>41130.77180153169</v>
      </c>
      <c r="N44" s="41" t="n">
        <v>31735.48700300037</v>
      </c>
      <c r="O44" s="41" t="n">
        <v>1019931.086903076</v>
      </c>
    </row>
    <row r="45">
      <c r="A45" s="39" t="inlineStr">
        <is>
          <t>feb-26</t>
        </is>
      </c>
      <c r="B45" s="28" t="n">
        <v>312171.497</v>
      </c>
      <c r="C45" s="28" t="n">
        <v>259320.519</v>
      </c>
      <c r="D45" s="28" t="n">
        <v>113050.367</v>
      </c>
      <c r="E45" s="28" t="n">
        <v>111947.969</v>
      </c>
      <c r="F45" s="28" t="n">
        <v>33608.28999999999</v>
      </c>
      <c r="G45" s="28" t="n">
        <v>26512.682</v>
      </c>
      <c r="H45" s="28" t="n">
        <v>856611.324</v>
      </c>
      <c r="I45" s="28" t="n">
        <v>364600.8149253323</v>
      </c>
      <c r="J45" s="28" t="n">
        <v>302873.4956998977</v>
      </c>
      <c r="K45" s="28" t="n">
        <v>132037.2177854787</v>
      </c>
      <c r="L45" s="28" t="n">
        <v>130749.6716352545</v>
      </c>
      <c r="M45" s="28" t="n">
        <v>39252.81468681587</v>
      </c>
      <c r="N45" s="28" t="n">
        <v>30965.49670918928</v>
      </c>
      <c r="O45" s="28" t="n">
        <v>1000479.511441968</v>
      </c>
    </row>
    <row r="46">
      <c r="A46" s="40" t="inlineStr">
        <is>
          <t>mar-26</t>
        </is>
      </c>
      <c r="B46" s="41" t="n">
        <v>314724.987</v>
      </c>
      <c r="C46" s="41" t="n">
        <v>261104.499</v>
      </c>
      <c r="D46" s="41" t="n">
        <v>118069.849</v>
      </c>
      <c r="E46" s="41" t="n">
        <v>112427.529</v>
      </c>
      <c r="F46" s="41" t="n">
        <v>33839.047</v>
      </c>
      <c r="G46" s="41" t="n">
        <v>26594.873</v>
      </c>
      <c r="H46" s="41" t="n">
        <v>866760.7840000001</v>
      </c>
      <c r="I46" s="41" t="n">
        <v>355556.0467670306</v>
      </c>
      <c r="J46" s="41" t="n">
        <v>294979.0683684295</v>
      </c>
      <c r="K46" s="41" t="n">
        <v>133387.720984544</v>
      </c>
      <c r="L46" s="41" t="n">
        <v>127013.3907703544</v>
      </c>
      <c r="M46" s="41" t="n">
        <v>38229.17872638992</v>
      </c>
      <c r="N46" s="41" t="n">
        <v>30045.17689646053</v>
      </c>
      <c r="O46" s="41" t="n">
        <v>979210.5825132089</v>
      </c>
    </row>
    <row r="47">
      <c r="A47" s="39" t="inlineStr">
        <is>
          <t>abr-26</t>
        </is>
      </c>
      <c r="B47" s="28" t="n">
        <v>325873.554</v>
      </c>
      <c r="C47" s="28" t="n">
        <v>263835.832</v>
      </c>
      <c r="D47" s="28" t="n">
        <v>123721.298</v>
      </c>
      <c r="E47" s="28" t="n">
        <v>108225.022</v>
      </c>
      <c r="F47" s="28" t="n">
        <v>34247.726</v>
      </c>
      <c r="G47" s="28" t="n">
        <v>26829.734</v>
      </c>
      <c r="H47" s="28" t="n">
        <v>882733.166</v>
      </c>
      <c r="I47" s="28" t="n">
        <v>358883.9525986649</v>
      </c>
      <c r="J47" s="28" t="n">
        <v>290561.922141486</v>
      </c>
      <c r="K47" s="28" t="n">
        <v>136254.0405683773</v>
      </c>
      <c r="L47" s="28" t="n">
        <v>119188.0199810184</v>
      </c>
      <c r="M47" s="28" t="n">
        <v>37716.95838317725</v>
      </c>
      <c r="N47" s="28" t="n">
        <v>29547.53727910915</v>
      </c>
      <c r="O47" s="28" t="n">
        <v>972152.430951833</v>
      </c>
    </row>
    <row r="48">
      <c r="A48" s="40" t="inlineStr">
        <is>
          <t>may-26</t>
        </is>
      </c>
      <c r="B48" s="41" t="n">
        <v>334674.837</v>
      </c>
      <c r="C48" s="41" t="n">
        <v>268278.919</v>
      </c>
      <c r="D48" s="41" t="n">
        <v>128204.05</v>
      </c>
      <c r="E48" s="41" t="n">
        <v>106991.534</v>
      </c>
      <c r="F48" s="41" t="n">
        <v>34894.055</v>
      </c>
      <c r="G48" s="41" t="n">
        <v>27196.363</v>
      </c>
      <c r="H48" s="41" t="n">
        <v>900239.7580000001</v>
      </c>
      <c r="I48" s="41" t="n">
        <v>360819.2749750032</v>
      </c>
      <c r="J48" s="41" t="n">
        <v>289236.5793388213</v>
      </c>
      <c r="K48" s="41" t="n">
        <v>138219.2123689868</v>
      </c>
      <c r="L48" s="41" t="n">
        <v>115349.5974552261</v>
      </c>
      <c r="M48" s="41" t="n">
        <v>37619.94101169274</v>
      </c>
      <c r="N48" s="41" t="n">
        <v>29320.91359953961</v>
      </c>
      <c r="O48" s="41" t="n">
        <v>970565.5187492697</v>
      </c>
    </row>
    <row r="49">
      <c r="A49" s="39" t="inlineStr">
        <is>
          <t>jun-26</t>
        </is>
      </c>
      <c r="B49" s="28" t="n">
        <v>343490.36</v>
      </c>
      <c r="C49" s="28" t="n">
        <v>276867.466</v>
      </c>
      <c r="D49" s="28" t="n">
        <v>121596.912</v>
      </c>
      <c r="E49" s="28" t="n">
        <v>106885.646</v>
      </c>
      <c r="F49" s="28" t="n">
        <v>35520.215</v>
      </c>
      <c r="G49" s="28" t="n">
        <v>26938.876</v>
      </c>
      <c r="H49" s="28" t="n">
        <v>911299.4749999999</v>
      </c>
      <c r="I49" s="28" t="n">
        <v>363465.3334652432</v>
      </c>
      <c r="J49" s="28" t="n">
        <v>292968.1224689009</v>
      </c>
      <c r="K49" s="28" t="n">
        <v>128668.1296337511</v>
      </c>
      <c r="L49" s="28" t="n">
        <v>113101.3603002947</v>
      </c>
      <c r="M49" s="28" t="n">
        <v>37585.81984580916</v>
      </c>
      <c r="N49" s="28" t="n">
        <v>28505.45077456857</v>
      </c>
      <c r="O49" s="28" t="n">
        <v>964294.2164885676</v>
      </c>
    </row>
    <row r="50">
      <c r="A50" s="40" t="inlineStr">
        <is>
          <t>jul-26</t>
        </is>
      </c>
      <c r="B50" s="41" t="n">
        <v>353136.146</v>
      </c>
      <c r="C50" s="41" t="n">
        <v>280106.396</v>
      </c>
      <c r="D50" s="41" t="n">
        <v>139767.443</v>
      </c>
      <c r="E50" s="41" t="n">
        <v>103654.051</v>
      </c>
      <c r="F50" s="41" t="n">
        <v>36505.726</v>
      </c>
      <c r="G50" s="41" t="n">
        <v>26031.441</v>
      </c>
      <c r="H50" s="41" t="n">
        <v>939201.203</v>
      </c>
      <c r="I50" s="41" t="n">
        <v>365936.7844701082</v>
      </c>
      <c r="J50" s="41" t="n">
        <v>290259.8191173292</v>
      </c>
      <c r="K50" s="41" t="n">
        <v>144833.796382399</v>
      </c>
      <c r="L50" s="41" t="n">
        <v>107411.3498430733</v>
      </c>
      <c r="M50" s="41" t="n">
        <v>37829.00203930646</v>
      </c>
      <c r="N50" s="41" t="n">
        <v>26975.04042722191</v>
      </c>
      <c r="O50" s="41" t="n">
        <v>973245.7922794381</v>
      </c>
    </row>
    <row r="51">
      <c r="A51" s="39" t="inlineStr">
        <is>
          <t>ago-26</t>
        </is>
      </c>
      <c r="B51" s="28" t="n">
        <v>362212.921</v>
      </c>
      <c r="C51" s="28" t="n">
        <v>288959.2224029733</v>
      </c>
      <c r="D51" s="28" t="n">
        <v>144057.922</v>
      </c>
      <c r="E51" s="28" t="n">
        <v>104439.361</v>
      </c>
      <c r="F51" s="28" t="n">
        <v>37082.289</v>
      </c>
      <c r="G51" s="28" t="n">
        <v>25141.688</v>
      </c>
      <c r="H51" s="28" t="n">
        <v>961893.4034029732</v>
      </c>
      <c r="I51" s="28" t="n">
        <v>369216.7069977947</v>
      </c>
      <c r="J51" s="28" t="n">
        <v>294546.5674104685</v>
      </c>
      <c r="K51" s="28" t="n">
        <v>146843.4406783218</v>
      </c>
      <c r="L51" s="28" t="n">
        <v>106458.8111404615</v>
      </c>
      <c r="M51" s="28" t="n">
        <v>37799.31592368719</v>
      </c>
      <c r="N51" s="28" t="n">
        <v>25627.83024442679</v>
      </c>
      <c r="O51" s="28" t="n">
        <v>980492.6723951604</v>
      </c>
    </row>
    <row r="53">
      <c r="A53" s="36" t="inlineStr">
        <is>
          <t>Fuente: EcoGo en base a BCRA, Central de Deudores del Sistema Financiero (24DSF). Saldo = préstamos + garantías otorgadas + otros conceptos, por entidad (Base_Unificada_24DSF, procesada en PNFC.xlsx). Datos provisorios del BCRA.</t>
        </is>
      </c>
    </row>
    <row r="54">
      <c r="A54" s="37" t="inlineStr">
        <is>
          <t>www.ecogo.com.ar</t>
        </is>
      </c>
    </row>
  </sheetData>
  <mergeCells count="3">
    <mergeCell ref="A1:O1"/>
    <mergeCell ref="A2:O2"/>
    <mergeCell ref="A53:O5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3C9794"/>
    <outlinePr summaryBelow="1" summaryRight="1"/>
    <pageSetUpPr/>
  </sheetPr>
  <dimension ref="A1:O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25" t="inlineStr">
        <is>
          <t>Mora de las cadenas de electrodomésticos (situación 3+4+5 sobre saldo total)</t>
        </is>
      </c>
    </row>
    <row r="2">
      <c r="A2" s="26" t="inlineStr">
        <is>
          <t>Central de Deudores · situación 2 (seguimiento especial) como señal adelantada, en los meses con dato por situación disponible · último dato: ago-26</t>
        </is>
      </c>
    </row>
    <row r="3">
      <c r="B3" s="38" t="inlineStr">
        <is>
          <t>Mora (sit. 3+4+5 / total)</t>
        </is>
      </c>
      <c r="I3" s="38" t="inlineStr">
        <is>
          <t>Situación 2 / total</t>
        </is>
      </c>
    </row>
    <row r="4" ht="44" customHeight="1">
      <c r="A4" s="3" t="inlineStr">
        <is>
          <t>Mes</t>
        </is>
      </c>
      <c r="B4" s="3" t="inlineStr">
        <is>
          <t>Electrónica Megatone S.R.L.</t>
        </is>
      </c>
      <c r="C4" s="3" t="inlineStr">
        <is>
          <t>Naldo Lombardi S.A.</t>
        </is>
      </c>
      <c r="D4" s="3" t="inlineStr">
        <is>
          <t>Cetrogar S.A.</t>
        </is>
      </c>
      <c r="E4" s="3" t="inlineStr">
        <is>
          <t>Frávega S.A.C.I. e I.</t>
        </is>
      </c>
      <c r="F4" s="3" t="inlineStr">
        <is>
          <t>Favanet S.A.</t>
        </is>
      </c>
      <c r="G4" s="3" t="inlineStr">
        <is>
          <t>Carsa S.A.</t>
        </is>
      </c>
      <c r="H4" s="3" t="inlineStr">
        <is>
          <t>Total electro (ponderado por saldo)</t>
        </is>
      </c>
      <c r="I4" s="3" t="inlineStr">
        <is>
          <t>Electrónica Megatone S.R.L.</t>
        </is>
      </c>
      <c r="J4" s="3" t="inlineStr">
        <is>
          <t>Naldo Lombardi S.A.</t>
        </is>
      </c>
      <c r="K4" s="3" t="inlineStr">
        <is>
          <t>Cetrogar S.A.</t>
        </is>
      </c>
      <c r="L4" s="3" t="inlineStr">
        <is>
          <t>Frávega S.A.C.I. e I.</t>
        </is>
      </c>
      <c r="M4" s="3" t="inlineStr">
        <is>
          <t>Favanet S.A.</t>
        </is>
      </c>
      <c r="N4" s="3" t="inlineStr">
        <is>
          <t>Carsa S.A.</t>
        </is>
      </c>
      <c r="O4" s="3" t="inlineStr">
        <is>
          <t>Total electro (ponderado por saldo)</t>
        </is>
      </c>
    </row>
    <row r="5">
      <c r="A5" s="39" t="inlineStr">
        <is>
          <t>oct-22</t>
        </is>
      </c>
      <c r="B5" s="29" t="n">
        <v>0.1450668486400737</v>
      </c>
      <c r="C5" s="29" t="n">
        <v>0.1133565735254118</v>
      </c>
      <c r="D5" s="29" t="n">
        <v>0.1852969325690647</v>
      </c>
      <c r="E5" s="29" t="n">
        <v>0.1609658834224778</v>
      </c>
      <c r="F5" s="29" t="n">
        <v>0.1640742112997183</v>
      </c>
      <c r="G5" s="29" t="n">
        <v>0.1280720928696222</v>
      </c>
      <c r="H5" s="29" t="n">
        <v>0.1410230311930707</v>
      </c>
      <c r="I5" s="29" t="n"/>
      <c r="J5" s="29" t="n"/>
      <c r="K5" s="29" t="n"/>
      <c r="L5" s="29" t="n"/>
      <c r="M5" s="29" t="n"/>
      <c r="N5" s="29" t="n"/>
      <c r="O5" s="29" t="n"/>
    </row>
    <row r="6">
      <c r="A6" s="40" t="inlineStr">
        <is>
          <t>nov-22</t>
        </is>
      </c>
      <c r="B6" s="42" t="n">
        <v>0.1474061829591971</v>
      </c>
      <c r="C6" s="42" t="n">
        <v>0.1090594849394679</v>
      </c>
      <c r="D6" s="42" t="n">
        <v>0.1844794140429251</v>
      </c>
      <c r="E6" s="42" t="n">
        <v>0.1385863788772168</v>
      </c>
      <c r="F6" s="42" t="n">
        <v>0.1475428366046193</v>
      </c>
      <c r="G6" s="42" t="n">
        <v>0.1259004709588198</v>
      </c>
      <c r="H6" s="42" t="n">
        <v>0.139097136690513</v>
      </c>
      <c r="I6" s="42" t="n"/>
      <c r="J6" s="42" t="n"/>
      <c r="K6" s="42" t="n"/>
      <c r="L6" s="42" t="n"/>
      <c r="M6" s="42" t="n"/>
      <c r="N6" s="42" t="n"/>
      <c r="O6" s="42" t="n"/>
    </row>
    <row r="7">
      <c r="A7" s="39" t="inlineStr">
        <is>
          <t>dic-22</t>
        </is>
      </c>
      <c r="B7" s="29" t="n">
        <v>0.1455371473775751</v>
      </c>
      <c r="C7" s="29" t="n">
        <v>0.1010868982343448</v>
      </c>
      <c r="D7" s="29" t="n">
        <v>0.1854353459011986</v>
      </c>
      <c r="E7" s="29" t="n">
        <v>0.1022743989481654</v>
      </c>
      <c r="F7" s="29" t="n">
        <v>0.1412506787298304</v>
      </c>
      <c r="G7" s="29" t="n">
        <v>0.1178420555647342</v>
      </c>
      <c r="H7" s="29" t="n">
        <v>0.1330809928572424</v>
      </c>
      <c r="I7" s="29" t="n"/>
      <c r="J7" s="29" t="n"/>
      <c r="K7" s="29" t="n"/>
      <c r="L7" s="29" t="n"/>
      <c r="M7" s="29" t="n"/>
      <c r="N7" s="29" t="n"/>
      <c r="O7" s="29" t="n"/>
    </row>
    <row r="8">
      <c r="A8" s="40" t="inlineStr">
        <is>
          <t>ene-23</t>
        </is>
      </c>
      <c r="B8" s="42" t="n">
        <v>0.1540059842200343</v>
      </c>
      <c r="C8" s="42" t="n">
        <v>0.09774915400993234</v>
      </c>
      <c r="D8" s="42" t="n">
        <v>0.1852894221937959</v>
      </c>
      <c r="E8" s="42" t="n">
        <v>0.08303576750240904</v>
      </c>
      <c r="F8" s="42" t="n">
        <v>0.1335194758100084</v>
      </c>
      <c r="G8" s="42" t="n">
        <v>0.116973632146577</v>
      </c>
      <c r="H8" s="42" t="n">
        <v>0.1338456415989044</v>
      </c>
      <c r="I8" s="42" t="n"/>
      <c r="J8" s="42" t="n"/>
      <c r="K8" s="42" t="n"/>
      <c r="L8" s="42" t="n"/>
      <c r="M8" s="42" t="n"/>
      <c r="N8" s="42" t="n"/>
      <c r="O8" s="42" t="n"/>
    </row>
    <row r="9">
      <c r="A9" s="39" t="inlineStr">
        <is>
          <t>feb-23</t>
        </is>
      </c>
      <c r="B9" s="29" t="n">
        <v>0.165216646550182</v>
      </c>
      <c r="C9" s="29" t="n">
        <v>0.09819025201292023</v>
      </c>
      <c r="D9" s="29" t="n">
        <v>0.1854272881565039</v>
      </c>
      <c r="E9" s="29" t="n">
        <v>0.1089219318590465</v>
      </c>
      <c r="F9" s="29" t="n">
        <v>0.1229915014798175</v>
      </c>
      <c r="G9" s="29" t="n">
        <v>0.1211846587223664</v>
      </c>
      <c r="H9" s="29" t="n">
        <v>0.1401110212655813</v>
      </c>
      <c r="I9" s="29" t="n"/>
      <c r="J9" s="29" t="n"/>
      <c r="K9" s="29" t="n"/>
      <c r="L9" s="29" t="n"/>
      <c r="M9" s="29" t="n"/>
      <c r="N9" s="29" t="n"/>
      <c r="O9" s="29" t="n"/>
    </row>
    <row r="10">
      <c r="A10" s="40" t="inlineStr">
        <is>
          <t>mar-23</t>
        </is>
      </c>
      <c r="B10" s="42" t="n">
        <v>0.1725337143908156</v>
      </c>
      <c r="C10" s="42" t="n">
        <v>0.09732484067880864</v>
      </c>
      <c r="D10" s="42" t="n">
        <v>0.1891060225779873</v>
      </c>
      <c r="E10" s="42" t="n">
        <v>0.1752172599188274</v>
      </c>
      <c r="F10" s="42" t="n">
        <v>0.1030296619819147</v>
      </c>
      <c r="G10" s="42" t="n">
        <v>0.1240277616856495</v>
      </c>
      <c r="H10" s="42" t="n">
        <v>0.1444908620429325</v>
      </c>
      <c r="I10" s="42" t="n"/>
      <c r="J10" s="42" t="n"/>
      <c r="K10" s="42" t="n"/>
      <c r="L10" s="42" t="n"/>
      <c r="M10" s="42" t="n"/>
      <c r="N10" s="42" t="n"/>
      <c r="O10" s="42" t="n"/>
    </row>
    <row r="11">
      <c r="A11" s="39" t="inlineStr">
        <is>
          <t>abr-23</t>
        </is>
      </c>
      <c r="B11" s="29" t="n">
        <v>0.1837112918924734</v>
      </c>
      <c r="C11" s="29" t="n">
        <v>0.09608429564496224</v>
      </c>
      <c r="D11" s="29" t="n">
        <v>0.1890987036387376</v>
      </c>
      <c r="E11" s="29" t="n">
        <v>0.1810341218807326</v>
      </c>
      <c r="F11" s="29" t="n">
        <v>0.09631689100325296</v>
      </c>
      <c r="G11" s="29" t="n">
        <v>0.1290831878720767</v>
      </c>
      <c r="H11" s="29" t="n">
        <v>0.1488422113173392</v>
      </c>
      <c r="I11" s="29" t="n"/>
      <c r="J11" s="29" t="n"/>
      <c r="K11" s="29" t="n"/>
      <c r="L11" s="29" t="n"/>
      <c r="M11" s="29" t="n"/>
      <c r="N11" s="29" t="n"/>
      <c r="O11" s="29" t="n"/>
    </row>
    <row r="12">
      <c r="A12" s="40" t="inlineStr">
        <is>
          <t>may-23</t>
        </is>
      </c>
      <c r="B12" s="42" t="n">
        <v>0.1954315827396168</v>
      </c>
      <c r="C12" s="42" t="n">
        <v>0.09576400206264155</v>
      </c>
      <c r="D12" s="42" t="n">
        <v>0.2232847826428889</v>
      </c>
      <c r="E12" s="42" t="n">
        <v>0.1505141605628815</v>
      </c>
      <c r="F12" s="42" t="n">
        <v>0.09234636272933558</v>
      </c>
      <c r="G12" s="42" t="n">
        <v>0.1357096879080197</v>
      </c>
      <c r="H12" s="42" t="n">
        <v>0.1557468577279519</v>
      </c>
      <c r="I12" s="42" t="n"/>
      <c r="J12" s="42" t="n"/>
      <c r="K12" s="42" t="n"/>
      <c r="L12" s="42" t="n"/>
      <c r="M12" s="42" t="n"/>
      <c r="N12" s="42" t="n"/>
      <c r="O12" s="42" t="n"/>
    </row>
    <row r="13">
      <c r="A13" s="39" t="inlineStr">
        <is>
          <t>jun-23</t>
        </is>
      </c>
      <c r="B13" s="29" t="n">
        <v>0.2031257349808722</v>
      </c>
      <c r="C13" s="29" t="n">
        <v>0.09412078575104577</v>
      </c>
      <c r="D13" s="29" t="n">
        <v>0.2232847826428889</v>
      </c>
      <c r="E13" s="29" t="n">
        <v>0.2012363696552771</v>
      </c>
      <c r="F13" s="29" t="n">
        <v>0.09298718987506784</v>
      </c>
      <c r="G13" s="29" t="n">
        <v>0.1411078445111724</v>
      </c>
      <c r="H13" s="29" t="n">
        <v>0.1597933663599298</v>
      </c>
      <c r="I13" s="29" t="n"/>
      <c r="J13" s="29" t="n"/>
      <c r="K13" s="29" t="n"/>
      <c r="L13" s="29" t="n"/>
      <c r="M13" s="29" t="n"/>
      <c r="N13" s="29" t="n"/>
      <c r="O13" s="29" t="n"/>
    </row>
    <row r="14">
      <c r="A14" s="40" t="inlineStr">
        <is>
          <t>jul-23</t>
        </is>
      </c>
      <c r="B14" s="42" t="n">
        <v>0.2052089021217976</v>
      </c>
      <c r="C14" s="42" t="n">
        <v>0.09178957917318559</v>
      </c>
      <c r="D14" s="42" t="n">
        <v>0.2232952431835942</v>
      </c>
      <c r="E14" s="42" t="n">
        <v>0.2228640732457954</v>
      </c>
      <c r="F14" s="42" t="n">
        <v>0.09304001628307203</v>
      </c>
      <c r="G14" s="42" t="n">
        <v>0.1455013219852588</v>
      </c>
      <c r="H14" s="42" t="n">
        <v>0.1597132126978257</v>
      </c>
      <c r="I14" s="42" t="n"/>
      <c r="J14" s="42" t="n"/>
      <c r="K14" s="42" t="n"/>
      <c r="L14" s="42" t="n"/>
      <c r="M14" s="42" t="n"/>
      <c r="N14" s="42" t="n"/>
      <c r="O14" s="42" t="n"/>
    </row>
    <row r="15">
      <c r="A15" s="39" t="inlineStr">
        <is>
          <t>ago-23</t>
        </is>
      </c>
      <c r="B15" s="29" t="n">
        <v>0.1999078243568398</v>
      </c>
      <c r="C15" s="29" t="n">
        <v>0.09066933275012759</v>
      </c>
      <c r="D15" s="29" t="n">
        <v>0.3135244869741872</v>
      </c>
      <c r="E15" s="29" t="n">
        <v>0.1654396886957918</v>
      </c>
      <c r="F15" s="29" t="n">
        <v>0.09255721883579432</v>
      </c>
      <c r="G15" s="29" t="n">
        <v>0.1519325086185208</v>
      </c>
      <c r="H15" s="29" t="n">
        <v>0.1595965052987185</v>
      </c>
      <c r="I15" s="29" t="n"/>
      <c r="J15" s="29" t="n"/>
      <c r="K15" s="29" t="n"/>
      <c r="L15" s="29" t="n"/>
      <c r="M15" s="29" t="n"/>
      <c r="N15" s="29" t="n"/>
      <c r="O15" s="29" t="n"/>
    </row>
    <row r="16">
      <c r="A16" s="40" t="inlineStr">
        <is>
          <t>sep-23</t>
        </is>
      </c>
      <c r="B16" s="42" t="n">
        <v>0.2177206091637602</v>
      </c>
      <c r="C16" s="42" t="n">
        <v>0.09133275983258259</v>
      </c>
      <c r="D16" s="42" t="n">
        <v>0.3135288976594084</v>
      </c>
      <c r="E16" s="42" t="n">
        <v>0.226712872106758</v>
      </c>
      <c r="F16" s="42" t="n">
        <v>0.092509477477576</v>
      </c>
      <c r="G16" s="42" t="n">
        <v>0.1550117984660236</v>
      </c>
      <c r="H16" s="42" t="n">
        <v>0.170519063687874</v>
      </c>
      <c r="I16" s="42" t="n">
        <v>0.05200889721958109</v>
      </c>
      <c r="J16" s="42" t="n">
        <v>0.01947922966985874</v>
      </c>
      <c r="K16" s="42" t="n">
        <v>0.1452125221612137</v>
      </c>
      <c r="L16" s="42" t="n">
        <v>0.04465641326381097</v>
      </c>
      <c r="M16" s="42" t="n">
        <v>0.04038913142443324</v>
      </c>
      <c r="N16" s="42" t="n">
        <v>0.02760892323379103</v>
      </c>
      <c r="O16" s="42" t="n">
        <v>0.04367165205944758</v>
      </c>
    </row>
    <row r="17">
      <c r="A17" s="39" t="inlineStr">
        <is>
          <t>oct-23</t>
        </is>
      </c>
      <c r="B17" s="29" t="n">
        <v>0.2299718176433132</v>
      </c>
      <c r="C17" s="29" t="n">
        <v>0.08878725344573657</v>
      </c>
      <c r="D17" s="29" t="n">
        <v>0.3978249639467057</v>
      </c>
      <c r="E17" s="29" t="n">
        <v>0.4528241313606859</v>
      </c>
      <c r="F17" s="29" t="n">
        <v>0.08373000758893756</v>
      </c>
      <c r="G17" s="29" t="n">
        <v>0.156104921455277</v>
      </c>
      <c r="H17" s="29" t="n">
        <v>0.1791254207192916</v>
      </c>
      <c r="I17" s="29" t="n">
        <v>0.0517507762953044</v>
      </c>
      <c r="J17" s="29" t="n">
        <v>0.01821025334362877</v>
      </c>
      <c r="K17" s="29" t="n">
        <v>0.08960690910943944</v>
      </c>
      <c r="L17" s="29" t="n">
        <v>0.1241469954509044</v>
      </c>
      <c r="M17" s="29" t="n">
        <v>0.0366303309377122</v>
      </c>
      <c r="N17" s="29" t="n">
        <v>0.02648616737244424</v>
      </c>
      <c r="O17" s="29" t="n">
        <v>0.04049084271883057</v>
      </c>
    </row>
    <row r="18">
      <c r="A18" s="40" t="inlineStr">
        <is>
          <t>nov-23</t>
        </is>
      </c>
      <c r="B18" s="42" t="n">
        <v>0.248537485222233</v>
      </c>
      <c r="C18" s="42" t="n">
        <v>0.08648284184251537</v>
      </c>
      <c r="D18" s="42" t="n">
        <v>0.5017020092309473</v>
      </c>
      <c r="E18" s="42" t="n">
        <v>0.3186331539151779</v>
      </c>
      <c r="F18" s="42" t="n">
        <v>0.08368221498391798</v>
      </c>
      <c r="G18" s="42" t="n">
        <v>0.1636900799126779</v>
      </c>
      <c r="H18" s="42" t="n">
        <v>0.1837472557573628</v>
      </c>
      <c r="I18" s="42" t="n">
        <v>0.04852721997897382</v>
      </c>
      <c r="J18" s="42" t="n">
        <v>0.0185418033281838</v>
      </c>
      <c r="K18" s="42" t="n">
        <v>0.08168447985886312</v>
      </c>
      <c r="L18" s="42" t="n">
        <v>0.0856139623954507</v>
      </c>
      <c r="M18" s="42" t="n">
        <v>0.03549329346664558</v>
      </c>
      <c r="N18" s="42" t="n">
        <v>0.02771614822059004</v>
      </c>
      <c r="O18" s="42" t="n">
        <v>0.03741342303113179</v>
      </c>
    </row>
    <row r="19">
      <c r="A19" s="39" t="inlineStr">
        <is>
          <t>dic-23</t>
        </is>
      </c>
      <c r="B19" s="29" t="n">
        <v>0.2749728157783571</v>
      </c>
      <c r="C19" s="29" t="n">
        <v>0.08403533230109174</v>
      </c>
      <c r="D19" s="29" t="n">
        <v>0.5017020092309473</v>
      </c>
      <c r="E19" s="29" t="n">
        <v>0.2253808800542966</v>
      </c>
      <c r="F19" s="29" t="n">
        <v>0.08687557106997494</v>
      </c>
      <c r="G19" s="29" t="n">
        <v>0.1642400980527031</v>
      </c>
      <c r="H19" s="29" t="n">
        <v>0.1872673302462681</v>
      </c>
      <c r="I19" s="29" t="n">
        <v>0.04842241805915256</v>
      </c>
      <c r="J19" s="29" t="n">
        <v>0.01896252260210553</v>
      </c>
      <c r="K19" s="29" t="n">
        <v>0.08168447985886312</v>
      </c>
      <c r="L19" s="29" t="n">
        <v>0.04482492847365118</v>
      </c>
      <c r="M19" s="29" t="n">
        <v>0.03790317971706615</v>
      </c>
      <c r="N19" s="29" t="n">
        <v>0.02380500646185627</v>
      </c>
      <c r="O19" s="29" t="n">
        <v>0.03551233412267348</v>
      </c>
    </row>
    <row r="20">
      <c r="A20" s="40" t="inlineStr">
        <is>
          <t>ene-24</t>
        </is>
      </c>
      <c r="B20" s="42" t="n">
        <v>0.2935725044067856</v>
      </c>
      <c r="C20" s="42" t="n">
        <v>0.08699020332531429</v>
      </c>
      <c r="D20" s="42" t="n">
        <v>0.6304821882009441</v>
      </c>
      <c r="E20" s="42" t="n">
        <v>0.2780922560817707</v>
      </c>
      <c r="F20" s="42" t="n">
        <v>0.08682600840449435</v>
      </c>
      <c r="G20" s="42" t="n">
        <v>0.1697078239624391</v>
      </c>
      <c r="H20" s="42" t="n">
        <v>0.1979051990345801</v>
      </c>
      <c r="I20" s="42" t="n">
        <v>0.04982938185412993</v>
      </c>
      <c r="J20" s="42" t="n">
        <v>0.02060292717267894</v>
      </c>
      <c r="K20" s="42" t="n">
        <v>0.06324927234434559</v>
      </c>
      <c r="L20" s="42" t="n">
        <v>0.06906280403130885</v>
      </c>
      <c r="M20" s="42" t="n">
        <v>0.04505259330637497</v>
      </c>
      <c r="N20" s="42" t="n">
        <v>0.03009123873389474</v>
      </c>
      <c r="O20" s="42" t="n">
        <v>0.03752371766344473</v>
      </c>
    </row>
    <row r="21">
      <c r="A21" s="39" t="inlineStr">
        <is>
          <t>feb-24</t>
        </is>
      </c>
      <c r="B21" s="29" t="n">
        <v>0.307765178209492</v>
      </c>
      <c r="C21" s="29" t="n">
        <v>0.09187069050626889</v>
      </c>
      <c r="D21" s="29" t="n">
        <v>0.6945468780006011</v>
      </c>
      <c r="E21" s="29" t="n">
        <v>0.2016620520184517</v>
      </c>
      <c r="F21" s="29" t="n">
        <v>0.08073048051389815</v>
      </c>
      <c r="G21" s="29" t="n">
        <v>0.1754290320817621</v>
      </c>
      <c r="H21" s="29" t="n">
        <v>0.2014534498035553</v>
      </c>
      <c r="I21" s="29" t="n">
        <v>0.05350675160923474</v>
      </c>
      <c r="J21" s="29" t="n">
        <v>0.02420502073054651</v>
      </c>
      <c r="K21" s="29" t="n">
        <v>0.05603777943865317</v>
      </c>
      <c r="L21" s="29" t="n">
        <v>0.05429979489894025</v>
      </c>
      <c r="M21" s="29" t="n">
        <v>0.04851184676520959</v>
      </c>
      <c r="N21" s="29" t="n">
        <v>0.03576928619227612</v>
      </c>
      <c r="O21" s="29" t="n">
        <v>0.04046476329493386</v>
      </c>
    </row>
    <row r="22">
      <c r="A22" s="40" t="inlineStr">
        <is>
          <t>mar-24</t>
        </is>
      </c>
      <c r="B22" s="42" t="n">
        <v>0.3130467450064281</v>
      </c>
      <c r="C22" s="42" t="n">
        <v>0.08923831118417019</v>
      </c>
      <c r="D22" s="42" t="n">
        <v>0.2189044433876315</v>
      </c>
      <c r="E22" s="42" t="n">
        <v>0.2733064036227744</v>
      </c>
      <c r="F22" s="42" t="n">
        <v>0.07976230219825012</v>
      </c>
      <c r="G22" s="42" t="n">
        <v>0.1788462905458044</v>
      </c>
      <c r="H22" s="42" t="n">
        <v>0.1970350190409826</v>
      </c>
      <c r="I22" s="42" t="n"/>
      <c r="J22" s="42" t="n"/>
      <c r="K22" s="42" t="n"/>
      <c r="L22" s="42" t="n"/>
      <c r="M22" s="42" t="n"/>
      <c r="N22" s="42" t="n"/>
      <c r="O22" s="42" t="n"/>
    </row>
    <row r="23">
      <c r="A23" s="39" t="inlineStr">
        <is>
          <t>abr-24</t>
        </is>
      </c>
      <c r="B23" s="29" t="n">
        <v>0.3073823747526768</v>
      </c>
      <c r="C23" s="29" t="n">
        <v>0.08735005965398143</v>
      </c>
      <c r="D23" s="29" t="n">
        <v>0.2295317384432919</v>
      </c>
      <c r="E23" s="29" t="n">
        <v>0.1855876444318571</v>
      </c>
      <c r="F23" s="29" t="n">
        <v>0.08230216091868522</v>
      </c>
      <c r="G23" s="29" t="n">
        <v>0.1818742809423687</v>
      </c>
      <c r="H23" s="29" t="n">
        <v>0.1872898181650497</v>
      </c>
      <c r="I23" s="29" t="n"/>
      <c r="J23" s="29" t="n"/>
      <c r="K23" s="29" t="n"/>
      <c r="L23" s="29" t="n"/>
      <c r="M23" s="29" t="n"/>
      <c r="N23" s="29" t="n"/>
      <c r="O23" s="29" t="n"/>
    </row>
    <row r="24">
      <c r="A24" s="40" t="inlineStr">
        <is>
          <t>may-24</t>
        </is>
      </c>
      <c r="B24" s="42" t="n">
        <v>0.2940978529889567</v>
      </c>
      <c r="C24" s="42" t="n">
        <v>0.08232553201329151</v>
      </c>
      <c r="D24" s="42" t="n">
        <v>0.2352423288807838</v>
      </c>
      <c r="E24" s="42" t="n">
        <v>0.1939995720995746</v>
      </c>
      <c r="F24" s="42" t="n">
        <v>0.08412674088483055</v>
      </c>
      <c r="G24" s="42" t="n">
        <v>0.1850397720885444</v>
      </c>
      <c r="H24" s="42" t="n">
        <v>0.1806196935215051</v>
      </c>
      <c r="I24" s="42" t="n"/>
      <c r="J24" s="42" t="n"/>
      <c r="K24" s="42" t="n"/>
      <c r="L24" s="42" t="n"/>
      <c r="M24" s="42" t="n"/>
      <c r="N24" s="42" t="n"/>
      <c r="O24" s="42" t="n"/>
    </row>
    <row r="25">
      <c r="A25" s="39" t="inlineStr">
        <is>
          <t>jun-24</t>
        </is>
      </c>
      <c r="B25" s="29" t="n">
        <v>0.2683655924730622</v>
      </c>
      <c r="C25" s="29" t="n">
        <v>0.0795519598970449</v>
      </c>
      <c r="D25" s="29" t="n">
        <v>0.2246577657564125</v>
      </c>
      <c r="E25" s="29" t="n">
        <v>0.1850716386299634</v>
      </c>
      <c r="F25" s="29" t="n">
        <v>0.09065910315247488</v>
      </c>
      <c r="G25" s="29" t="n">
        <v>0.1865294696476041</v>
      </c>
      <c r="H25" s="29" t="n">
        <v>0.1704179096534337</v>
      </c>
      <c r="I25" s="29" t="n"/>
      <c r="J25" s="29" t="n"/>
      <c r="K25" s="29" t="n"/>
      <c r="L25" s="29" t="n"/>
      <c r="M25" s="29" t="n"/>
      <c r="N25" s="29" t="n"/>
      <c r="O25" s="29" t="n"/>
    </row>
    <row r="26">
      <c r="A26" s="40" t="inlineStr">
        <is>
          <t>jul-24</t>
        </is>
      </c>
      <c r="B26" s="42" t="n">
        <v>0.2314957677710847</v>
      </c>
      <c r="C26" s="42" t="n">
        <v>0.0689569353871176</v>
      </c>
      <c r="D26" s="42" t="n">
        <v>0.143139556172069</v>
      </c>
      <c r="E26" s="42" t="n">
        <v>0.1851465464057126</v>
      </c>
      <c r="F26" s="42" t="n">
        <v>0.08828572212915085</v>
      </c>
      <c r="G26" s="42" t="n">
        <v>0.1651514573865304</v>
      </c>
      <c r="H26" s="42" t="n">
        <v>0.1467815412176958</v>
      </c>
      <c r="I26" s="42" t="n"/>
      <c r="J26" s="42" t="n"/>
      <c r="K26" s="42" t="n"/>
      <c r="L26" s="42" t="n"/>
      <c r="M26" s="42" t="n"/>
      <c r="N26" s="42" t="n"/>
      <c r="O26" s="42" t="n"/>
    </row>
    <row r="27">
      <c r="A27" s="39" t="inlineStr">
        <is>
          <t>ago-24</t>
        </is>
      </c>
      <c r="B27" s="29" t="n">
        <v>0.2156070396991561</v>
      </c>
      <c r="C27" s="29" t="n">
        <v>0.06306142521821179</v>
      </c>
      <c r="D27" s="29" t="n">
        <v>0.1331106809867786</v>
      </c>
      <c r="E27" s="29" t="n">
        <v>0.1744138313618369</v>
      </c>
      <c r="F27" s="29" t="n">
        <v>0.09138845564023297</v>
      </c>
      <c r="G27" s="29" t="n">
        <v>0.1595149404518107</v>
      </c>
      <c r="H27" s="29" t="n">
        <v>0.1348325321353722</v>
      </c>
      <c r="I27" s="29" t="n"/>
      <c r="J27" s="29" t="n"/>
      <c r="K27" s="29" t="n"/>
      <c r="L27" s="29" t="n"/>
      <c r="M27" s="29" t="n"/>
      <c r="N27" s="29" t="n"/>
      <c r="O27" s="29" t="n"/>
    </row>
    <row r="28">
      <c r="A28" s="40" t="inlineStr">
        <is>
          <t>sep-24</t>
        </is>
      </c>
      <c r="B28" s="42" t="n">
        <v>0.2025524267628597</v>
      </c>
      <c r="C28" s="42" t="n">
        <v>0.05975041780139539</v>
      </c>
      <c r="D28" s="42" t="n">
        <v>0.1269335806030341</v>
      </c>
      <c r="E28" s="42" t="n">
        <v>0.1590550901171215</v>
      </c>
      <c r="F28" s="42" t="n">
        <v>0.09305736316679636</v>
      </c>
      <c r="G28" s="42" t="n">
        <v>0.1522531480948429</v>
      </c>
      <c r="H28" s="42" t="n">
        <v>0.1267354470876332</v>
      </c>
      <c r="I28" s="42" t="n"/>
      <c r="J28" s="42" t="n"/>
      <c r="K28" s="42" t="n"/>
      <c r="L28" s="42" t="n"/>
      <c r="M28" s="42" t="n"/>
      <c r="N28" s="42" t="n"/>
      <c r="O28" s="42" t="n"/>
    </row>
    <row r="29">
      <c r="A29" s="39" t="inlineStr">
        <is>
          <t>oct-24</t>
        </is>
      </c>
      <c r="B29" s="29" t="n">
        <v>0.1880267977401332</v>
      </c>
      <c r="C29" s="29" t="n">
        <v>0.05542418749103196</v>
      </c>
      <c r="D29" s="29" t="n">
        <v>0.1202245652471587</v>
      </c>
      <c r="E29" s="29" t="n">
        <v>0.1365130644350453</v>
      </c>
      <c r="F29" s="29" t="n">
        <v>0.0964995871673275</v>
      </c>
      <c r="G29" s="29" t="n">
        <v>0.1442603156910352</v>
      </c>
      <c r="H29" s="29" t="n">
        <v>0.116836459507048</v>
      </c>
      <c r="I29" s="29" t="n"/>
      <c r="J29" s="29" t="n"/>
      <c r="K29" s="29" t="n"/>
      <c r="L29" s="29" t="n"/>
      <c r="M29" s="29" t="n"/>
      <c r="N29" s="29" t="n"/>
      <c r="O29" s="29" t="n"/>
    </row>
    <row r="30">
      <c r="A30" s="40" t="inlineStr">
        <is>
          <t>nov-24</t>
        </is>
      </c>
      <c r="B30" s="42" t="n">
        <v>0.1840185846465803</v>
      </c>
      <c r="C30" s="42" t="n">
        <v>0.05391058418312118</v>
      </c>
      <c r="D30" s="42" t="n">
        <v>0.1707480632813814</v>
      </c>
      <c r="E30" s="42" t="n">
        <v>0.130926182478076</v>
      </c>
      <c r="F30" s="42" t="n">
        <v>0.0948489823642259</v>
      </c>
      <c r="G30" s="42" t="n">
        <v>0.1451938604904042</v>
      </c>
      <c r="H30" s="42" t="n">
        <v>0.1191599248973611</v>
      </c>
      <c r="I30" s="42" t="n"/>
      <c r="J30" s="42" t="n"/>
      <c r="K30" s="42" t="n"/>
      <c r="L30" s="42" t="n"/>
      <c r="M30" s="42" t="n"/>
      <c r="N30" s="42" t="n"/>
      <c r="O30" s="42" t="n"/>
    </row>
    <row r="31">
      <c r="A31" s="39" t="inlineStr">
        <is>
          <t>dic-24</t>
        </is>
      </c>
      <c r="B31" s="29" t="n">
        <v>0.1737980534493123</v>
      </c>
      <c r="C31" s="29" t="n">
        <v>0.04962305991619074</v>
      </c>
      <c r="D31" s="29" t="n">
        <v>0.1674339668730187</v>
      </c>
      <c r="E31" s="29" t="n">
        <v>0.1308829585318413</v>
      </c>
      <c r="F31" s="29" t="n">
        <v>0.1014368674157134</v>
      </c>
      <c r="G31" s="29" t="n">
        <v>0.1421698806857791</v>
      </c>
      <c r="H31" s="29" t="n">
        <v>0.1139786141583282</v>
      </c>
      <c r="I31" s="29" t="n"/>
      <c r="J31" s="29" t="n"/>
      <c r="K31" s="29" t="n"/>
      <c r="L31" s="29" t="n"/>
      <c r="M31" s="29" t="n"/>
      <c r="N31" s="29" t="n"/>
      <c r="O31" s="29" t="n"/>
    </row>
    <row r="32">
      <c r="A32" s="40" t="inlineStr">
        <is>
          <t>ene-25</t>
        </is>
      </c>
      <c r="B32" s="42" t="n">
        <v>0.1773224270228006</v>
      </c>
      <c r="C32" s="42" t="n">
        <v>0.07239907557613462</v>
      </c>
      <c r="D32" s="42" t="n">
        <v>0.1745744441696433</v>
      </c>
      <c r="E32" s="42" t="n">
        <v>0.1358575271080913</v>
      </c>
      <c r="F32" s="42" t="n">
        <v>0.1062144380122095</v>
      </c>
      <c r="G32" s="42" t="n">
        <v>0.148244830130303</v>
      </c>
      <c r="H32" s="42" t="n">
        <v>0.1259850322762235</v>
      </c>
      <c r="I32" s="42" t="n"/>
      <c r="J32" s="42" t="n"/>
      <c r="K32" s="42" t="n"/>
      <c r="L32" s="42" t="n"/>
      <c r="M32" s="42" t="n"/>
      <c r="N32" s="42" t="n"/>
      <c r="O32" s="42" t="n"/>
    </row>
    <row r="33">
      <c r="A33" s="39" t="inlineStr">
        <is>
          <t>feb-25</t>
        </is>
      </c>
      <c r="B33" s="29" t="n">
        <v>0.1882660575478149</v>
      </c>
      <c r="C33" s="29" t="n">
        <v>0.08492147350367237</v>
      </c>
      <c r="D33" s="29" t="n">
        <v>0.1892439749190434</v>
      </c>
      <c r="E33" s="29" t="n">
        <v>0.1450271054201204</v>
      </c>
      <c r="F33" s="29" t="n">
        <v>0.1121047792033947</v>
      </c>
      <c r="G33" s="29" t="n">
        <v>0.1605952707548214</v>
      </c>
      <c r="H33" s="29" t="n">
        <v>0.1386164092828278</v>
      </c>
      <c r="I33" s="29" t="n"/>
      <c r="J33" s="29" t="n"/>
      <c r="K33" s="29" t="n"/>
      <c r="L33" s="29" t="n"/>
      <c r="M33" s="29" t="n"/>
      <c r="N33" s="29" t="n"/>
      <c r="O33" s="29" t="n"/>
    </row>
    <row r="34">
      <c r="A34" s="40" t="inlineStr">
        <is>
          <t>mar-25</t>
        </is>
      </c>
      <c r="B34" s="42" t="n">
        <v>0.2017236244354821</v>
      </c>
      <c r="C34" s="42" t="n">
        <v>0.09856117467713572</v>
      </c>
      <c r="D34" s="42" t="n">
        <v>0.2131084052852693</v>
      </c>
      <c r="E34" s="42" t="n">
        <v>0.164262277390063</v>
      </c>
      <c r="F34" s="42" t="n">
        <v>0.1162089443419387</v>
      </c>
      <c r="G34" s="42" t="n">
        <v>0.1778660593168874</v>
      </c>
      <c r="H34" s="42" t="n">
        <v>0.1547030319590086</v>
      </c>
      <c r="I34" s="42" t="n">
        <v>0.08604124598508328</v>
      </c>
      <c r="J34" s="42" t="n">
        <v>0.08428896542388084</v>
      </c>
      <c r="K34" s="42" t="n">
        <v>0.1261808493922511</v>
      </c>
      <c r="L34" s="42" t="n">
        <v>0.1068239690959631</v>
      </c>
      <c r="M34" s="42" t="n">
        <v>0.07868481406628737</v>
      </c>
      <c r="N34" s="42" t="n">
        <v>0.05945177295671225</v>
      </c>
      <c r="O34" s="42" t="n">
        <v>0.09155426990899494</v>
      </c>
    </row>
    <row r="35">
      <c r="A35" s="39" t="inlineStr">
        <is>
          <t>abr-25</t>
        </is>
      </c>
      <c r="B35" s="29" t="n">
        <v>0.2296775571737379</v>
      </c>
      <c r="C35" s="29" t="n">
        <v>0.1163353722491253</v>
      </c>
      <c r="D35" s="29" t="n">
        <v>0.2442617608102634</v>
      </c>
      <c r="E35" s="29" t="n">
        <v>0.1835036785778586</v>
      </c>
      <c r="F35" s="29" t="n">
        <v>0.1275058680981081</v>
      </c>
      <c r="G35" s="29" t="n">
        <v>0.1944282972240624</v>
      </c>
      <c r="H35" s="29" t="n">
        <v>0.1774186465226094</v>
      </c>
      <c r="I35" s="29" t="n"/>
      <c r="J35" s="29" t="n"/>
      <c r="K35" s="29" t="n"/>
      <c r="L35" s="29" t="n"/>
      <c r="M35" s="29" t="n"/>
      <c r="N35" s="29" t="n"/>
      <c r="O35" s="29" t="n"/>
    </row>
    <row r="36">
      <c r="A36" s="40" t="inlineStr">
        <is>
          <t>may-25</t>
        </is>
      </c>
      <c r="B36" s="42" t="n">
        <v>0.2514644408147282</v>
      </c>
      <c r="C36" s="42" t="n">
        <v>0.1364896682891222</v>
      </c>
      <c r="D36" s="42" t="n">
        <v>0.2883902208596171</v>
      </c>
      <c r="E36" s="42" t="n">
        <v>0.2104207882446049</v>
      </c>
      <c r="F36" s="42" t="n">
        <v>0.1456826355365726</v>
      </c>
      <c r="G36" s="42" t="n">
        <v>0.2166951521334628</v>
      </c>
      <c r="H36" s="42" t="n">
        <v>0.2025618447835745</v>
      </c>
      <c r="I36" s="42" t="n">
        <v>0.09280435468987552</v>
      </c>
      <c r="J36" s="42" t="n">
        <v>0.08703186668013324</v>
      </c>
      <c r="K36" s="42" t="n">
        <v>0.1275167356170207</v>
      </c>
      <c r="L36" s="42" t="n">
        <v>0.1120987362114724</v>
      </c>
      <c r="M36" s="42" t="n">
        <v>0.09930417971702986</v>
      </c>
      <c r="N36" s="42" t="n">
        <v>0.07369307094372589</v>
      </c>
      <c r="O36" s="42" t="n">
        <v>0.09718092700166149</v>
      </c>
    </row>
    <row r="37">
      <c r="A37" s="39" t="inlineStr">
        <is>
          <t>jun-25</t>
        </is>
      </c>
      <c r="B37" s="29" t="n">
        <v>0.2753971729804204</v>
      </c>
      <c r="C37" s="29" t="n">
        <v>0.1535328930849408</v>
      </c>
      <c r="D37" s="29" t="n">
        <v>0.3216204495787748</v>
      </c>
      <c r="E37" s="29" t="n">
        <v>0.2356600200108513</v>
      </c>
      <c r="F37" s="29" t="n">
        <v>0.1697203510206397</v>
      </c>
      <c r="G37" s="29" t="n">
        <v>0.2406093770644671</v>
      </c>
      <c r="H37" s="29" t="n">
        <v>0.2263269749683075</v>
      </c>
      <c r="I37" s="29" t="n">
        <v>0.09006758651001334</v>
      </c>
      <c r="J37" s="29" t="n">
        <v>0.08434012137735385</v>
      </c>
      <c r="K37" s="29" t="n">
        <v>0.1268478673626993</v>
      </c>
      <c r="L37" s="29" t="n">
        <v>0.1200955381342593</v>
      </c>
      <c r="M37" s="29" t="n">
        <v>0.1079164438124604</v>
      </c>
      <c r="N37" s="29" t="n">
        <v>0.07186883253977093</v>
      </c>
      <c r="O37" s="29" t="n">
        <v>0.09683412564087659</v>
      </c>
    </row>
    <row r="38">
      <c r="A38" s="40" t="inlineStr">
        <is>
          <t>jul-25</t>
        </is>
      </c>
      <c r="B38" s="42" t="n">
        <v>0.2979782895783978</v>
      </c>
      <c r="C38" s="42" t="n">
        <v>0.1685581406846001</v>
      </c>
      <c r="D38" s="42" t="n">
        <v>0.3571762428213982</v>
      </c>
      <c r="E38" s="42" t="n">
        <v>0.2688893906862787</v>
      </c>
      <c r="F38" s="42" t="n">
        <v>0.1959344646058604</v>
      </c>
      <c r="G38" s="42" t="n">
        <v>0.2628035592763103</v>
      </c>
      <c r="H38" s="42" t="n">
        <v>0.2505699042673193</v>
      </c>
      <c r="I38" s="42" t="n">
        <v>0.08739841457602494</v>
      </c>
      <c r="J38" s="42" t="n">
        <v>0.0778785408128741</v>
      </c>
      <c r="K38" s="42" t="n">
        <v>0.1103650527754267</v>
      </c>
      <c r="L38" s="42" t="n">
        <v>0.1058216478468927</v>
      </c>
      <c r="M38" s="42" t="n">
        <v>0.1028867804726502</v>
      </c>
      <c r="N38" s="42" t="n">
        <v>0.07340272993445987</v>
      </c>
      <c r="O38" s="42" t="n">
        <v>0.08963479217072014</v>
      </c>
    </row>
    <row r="39">
      <c r="A39" s="39" t="inlineStr">
        <is>
          <t>ago-25</t>
        </is>
      </c>
      <c r="B39" s="29" t="n">
        <v>0.3202511148718459</v>
      </c>
      <c r="C39" s="29" t="n">
        <v>0.1825126560931134</v>
      </c>
      <c r="D39" s="29" t="n">
        <v>0.3911902817373331</v>
      </c>
      <c r="E39" s="29" t="n">
        <v>0.2908506038048591</v>
      </c>
      <c r="F39" s="29" t="n">
        <v>0.2150131626283633</v>
      </c>
      <c r="G39" s="29" t="n">
        <v>0.2891930541250252</v>
      </c>
      <c r="H39" s="29" t="n">
        <v>0.2726261828871773</v>
      </c>
      <c r="I39" s="29" t="n">
        <v>0.09060804528856775</v>
      </c>
      <c r="J39" s="29" t="n">
        <v>0.07681608091252347</v>
      </c>
      <c r="K39" s="29" t="n">
        <v>0.1012421891334781</v>
      </c>
      <c r="L39" s="29" t="n">
        <v>0.1026528299050668</v>
      </c>
      <c r="M39" s="29" t="n">
        <v>0.09949627853938203</v>
      </c>
      <c r="N39" s="29" t="n">
        <v>0.07293179495204087</v>
      </c>
      <c r="O39" s="29" t="n">
        <v>0.08873659155382331</v>
      </c>
    </row>
    <row r="40">
      <c r="A40" s="40" t="inlineStr">
        <is>
          <t>sep-25</t>
        </is>
      </c>
      <c r="B40" s="42" t="n">
        <v>0.3402040450856839</v>
      </c>
      <c r="C40" s="42" t="n">
        <v>0.2016253477851612</v>
      </c>
      <c r="D40" s="42" t="n">
        <v>0.4241837912448969</v>
      </c>
      <c r="E40" s="42" t="n">
        <v>0.3181476834947502</v>
      </c>
      <c r="F40" s="42" t="n">
        <v>0.2290242082274588</v>
      </c>
      <c r="G40" s="42" t="n">
        <v>0.3232287609736694</v>
      </c>
      <c r="H40" s="42" t="n">
        <v>0.296107675659223</v>
      </c>
      <c r="I40" s="42" t="n">
        <v>0.09526564944788082</v>
      </c>
      <c r="J40" s="42" t="n">
        <v>0.08227206300822563</v>
      </c>
      <c r="K40" s="42" t="n">
        <v>0.1011743454694004</v>
      </c>
      <c r="L40" s="42" t="n">
        <v>0.1065215797700425</v>
      </c>
      <c r="M40" s="42" t="n">
        <v>0.1027620338825614</v>
      </c>
      <c r="N40" s="42" t="n">
        <v>0.074353021845713</v>
      </c>
      <c r="O40" s="42" t="n">
        <v>0.09296137983784168</v>
      </c>
    </row>
    <row r="41">
      <c r="A41" s="39" t="inlineStr">
        <is>
          <t>oct-25</t>
        </is>
      </c>
      <c r="B41" s="29" t="n">
        <v>0.3497383423541361</v>
      </c>
      <c r="C41" s="29" t="n">
        <v>0.2185936732954621</v>
      </c>
      <c r="D41" s="29" t="n">
        <v>0.4527963715523161</v>
      </c>
      <c r="E41" s="29" t="n">
        <v>0.3430370927689127</v>
      </c>
      <c r="F41" s="29" t="n">
        <v>0.2474732726991233</v>
      </c>
      <c r="G41" s="29" t="n">
        <v>0.3501329720351355</v>
      </c>
      <c r="H41" s="29" t="n">
        <v>0.3143404058009511</v>
      </c>
      <c r="I41" s="29" t="n">
        <v>0.1068588630449261</v>
      </c>
      <c r="J41" s="29" t="n">
        <v>0.08786810597177568</v>
      </c>
      <c r="K41" s="29" t="n">
        <v>0.09747495448077953</v>
      </c>
      <c r="L41" s="29" t="n">
        <v>0.1105438931645455</v>
      </c>
      <c r="M41" s="29" t="n">
        <v>0.1044508545572699</v>
      </c>
      <c r="N41" s="29" t="n">
        <v>0.0805541495619303</v>
      </c>
      <c r="O41" s="29" t="n">
        <v>0.09916141656298853</v>
      </c>
    </row>
    <row r="42">
      <c r="A42" s="40" t="inlineStr">
        <is>
          <t>nov-25</t>
        </is>
      </c>
      <c r="B42" s="42" t="n">
        <v>0.4084117906635611</v>
      </c>
      <c r="C42" s="42" t="n">
        <v>0.2411804147208483</v>
      </c>
      <c r="D42" s="42" t="n">
        <v>0.4796520251609868</v>
      </c>
      <c r="E42" s="42" t="n">
        <v>0.3658288917583692</v>
      </c>
      <c r="F42" s="42" t="n">
        <v>0.2711935226927604</v>
      </c>
      <c r="G42" s="42" t="n">
        <v>0.3791590162028543</v>
      </c>
      <c r="H42" s="42" t="n">
        <v>0.3517704478679638</v>
      </c>
      <c r="I42" s="42" t="n">
        <v>0.1052405544500477</v>
      </c>
      <c r="J42" s="42" t="n">
        <v>0.09048740683196037</v>
      </c>
      <c r="K42" s="42" t="n">
        <v>0.0922807795552243</v>
      </c>
      <c r="L42" s="42" t="n">
        <v>0.1144971120370399</v>
      </c>
      <c r="M42" s="42" t="n">
        <v>0.1091050608922877</v>
      </c>
      <c r="N42" s="42" t="n">
        <v>0.08627908664665801</v>
      </c>
      <c r="O42" s="42" t="n">
        <v>0.09995653814092482</v>
      </c>
    </row>
    <row r="43">
      <c r="A43" s="39" t="inlineStr">
        <is>
          <t>dic-25</t>
        </is>
      </c>
      <c r="B43" s="29" t="n">
        <v>0.437489321550716</v>
      </c>
      <c r="C43" s="29" t="n">
        <v>0.2489088480060291</v>
      </c>
      <c r="D43" s="29" t="n">
        <v>0.4843071453451501</v>
      </c>
      <c r="E43" s="29" t="n">
        <v>0.3959411405382857</v>
      </c>
      <c r="F43" s="29" t="n">
        <v>0.3098343708590223</v>
      </c>
      <c r="G43" s="29" t="n">
        <v>0.3791590162028543</v>
      </c>
      <c r="H43" s="29" t="n">
        <v>0.3718951384674594</v>
      </c>
      <c r="I43" s="29" t="n">
        <v>0.08789653281543104</v>
      </c>
      <c r="J43" s="29" t="n">
        <v>0.07895308844209142</v>
      </c>
      <c r="K43" s="29" t="n">
        <v>0.07948589442350372</v>
      </c>
      <c r="L43" s="29" t="n">
        <v>0.1039820333880624</v>
      </c>
      <c r="M43" s="29" t="n">
        <v>0.1095923590568887</v>
      </c>
      <c r="N43" s="29" t="n">
        <v>0.08627908664665801</v>
      </c>
      <c r="O43" s="29" t="n">
        <v>0.08719424838187441</v>
      </c>
    </row>
    <row r="44">
      <c r="A44" s="40" t="inlineStr">
        <is>
          <t>ene-26</t>
        </is>
      </c>
      <c r="B44" s="42" t="n">
        <v>0.4610838574346493</v>
      </c>
      <c r="C44" s="42" t="n">
        <v>0.2619237076574494</v>
      </c>
      <c r="D44" s="42" t="n">
        <v>0.4938148048239207</v>
      </c>
      <c r="E44" s="42" t="n">
        <v>0.4270127723477987</v>
      </c>
      <c r="F44" s="42" t="n">
        <v>0.3496842287647879</v>
      </c>
      <c r="G44" s="42" t="n">
        <v>0.4155796426675024</v>
      </c>
      <c r="H44" s="42" t="n">
        <v>0.3935884583195275</v>
      </c>
      <c r="I44" s="42" t="n">
        <v>0.07856319164335114</v>
      </c>
      <c r="J44" s="42" t="n">
        <v>0.07023390580457765</v>
      </c>
      <c r="K44" s="42" t="n">
        <v>0.07210909200197471</v>
      </c>
      <c r="L44" s="42" t="n">
        <v>0.09603736543802883</v>
      </c>
      <c r="M44" s="42" t="n">
        <v>0.102908829483533</v>
      </c>
      <c r="N44" s="42" t="n">
        <v>0.07426521504773298</v>
      </c>
      <c r="O44" s="42" t="n">
        <v>0.07841812026148479</v>
      </c>
    </row>
    <row r="45">
      <c r="A45" s="39" t="inlineStr">
        <is>
          <t>feb-26</t>
        </is>
      </c>
      <c r="B45" s="29" t="n">
        <v>0.4829361951645445</v>
      </c>
      <c r="C45" s="29" t="n">
        <v>0.2793153903875999</v>
      </c>
      <c r="D45" s="29" t="n">
        <v>0.5083144931320744</v>
      </c>
      <c r="E45" s="29" t="n">
        <v>0.4748049247771525</v>
      </c>
      <c r="F45" s="29" t="n">
        <v>0.3830440941803347</v>
      </c>
      <c r="G45" s="29" t="n">
        <v>0.4441433348764942</v>
      </c>
      <c r="H45" s="29" t="n">
        <v>0.4184611993291837</v>
      </c>
      <c r="I45" s="29" t="n">
        <v>0.07490902668798106</v>
      </c>
      <c r="J45" s="29" t="n">
        <v>0.07574439182732008</v>
      </c>
      <c r="K45" s="29" t="n">
        <v>0.0760937733178699</v>
      </c>
      <c r="L45" s="29" t="n">
        <v>0.1027733249899335</v>
      </c>
      <c r="M45" s="29" t="n">
        <v>0.09685654938111993</v>
      </c>
      <c r="N45" s="29" t="n">
        <v>0.06814165386964623</v>
      </c>
      <c r="O45" s="29" t="n">
        <v>0.07961140728510846</v>
      </c>
    </row>
    <row r="46">
      <c r="A46" s="40" t="inlineStr">
        <is>
          <t>mar-26</t>
        </is>
      </c>
      <c r="B46" s="42" t="n">
        <v>0.4961709538493046</v>
      </c>
      <c r="C46" s="42" t="n">
        <v>0.2904952664182167</v>
      </c>
      <c r="D46" s="42" t="n">
        <v>0.5237164062096835</v>
      </c>
      <c r="E46" s="42" t="n">
        <v>0.5048271229015449</v>
      </c>
      <c r="F46" s="42" t="n">
        <v>0.4001705780898617</v>
      </c>
      <c r="G46" s="42" t="n">
        <v>0.4936500730798752</v>
      </c>
      <c r="H46" s="42" t="n">
        <v>0.435262600666991</v>
      </c>
      <c r="I46" s="42" t="n">
        <v>0.07651033440188848</v>
      </c>
      <c r="J46" s="42" t="n">
        <v>0.07688991984776178</v>
      </c>
      <c r="K46" s="42" t="n">
        <v>0.07781695392868673</v>
      </c>
      <c r="L46" s="42" t="n">
        <v>0.1000224420124007</v>
      </c>
      <c r="M46" s="42" t="n">
        <v>0.09118829498951316</v>
      </c>
      <c r="N46" s="42" t="n">
        <v>0.06639396247539893</v>
      </c>
      <c r="O46" s="42" t="n">
        <v>0.08011506205846063</v>
      </c>
    </row>
    <row r="47">
      <c r="A47" s="39" t="inlineStr">
        <is>
          <t>abr-26</t>
        </is>
      </c>
      <c r="B47" s="29" t="n">
        <v>0.522210378569106</v>
      </c>
      <c r="C47" s="29" t="n">
        <v>0.3028619365090637</v>
      </c>
      <c r="D47" s="29" t="n">
        <v>0.5369377065539677</v>
      </c>
      <c r="E47" s="29" t="n">
        <v>0.5346932431208007</v>
      </c>
      <c r="F47" s="29" t="n">
        <v>0.4150975454545507</v>
      </c>
      <c r="G47" s="29" t="n">
        <v>0.511377116150313</v>
      </c>
      <c r="H47" s="29" t="n">
        <v>0.4557599912361286</v>
      </c>
      <c r="I47" s="29" t="n">
        <v>0.07080481897589026</v>
      </c>
      <c r="J47" s="29" t="n">
        <v>0.07281689471201166</v>
      </c>
      <c r="K47" s="29" t="n">
        <v>0.07442244099314249</v>
      </c>
      <c r="L47" s="29" t="n">
        <v>0.09403914004286366</v>
      </c>
      <c r="M47" s="29" t="n">
        <v>0.08887565264917151</v>
      </c>
      <c r="N47" s="29" t="n">
        <v>0.06925618420219895</v>
      </c>
      <c r="O47" s="29" t="n">
        <v>0.07541584429376702</v>
      </c>
    </row>
    <row r="48">
      <c r="A48" s="40" t="inlineStr">
        <is>
          <t>may-26</t>
        </is>
      </c>
      <c r="B48" s="42" t="n">
        <v>0.5536763584051585</v>
      </c>
      <c r="C48" s="42" t="n">
        <v>0.2989171653848807</v>
      </c>
      <c r="D48" s="42" t="n">
        <v>0.5429282616266803</v>
      </c>
      <c r="E48" s="42" t="n">
        <v>0.5704981106262109</v>
      </c>
      <c r="F48" s="42" t="n">
        <v>0.426443673571329</v>
      </c>
      <c r="G48" s="42" t="n">
        <v>0.5291018508614552</v>
      </c>
      <c r="H48" s="42" t="n">
        <v>0.4725505402528556</v>
      </c>
      <c r="I48" s="42" t="n">
        <v>0.06614615606729943</v>
      </c>
      <c r="J48" s="42" t="n">
        <v>0.0673932863133387</v>
      </c>
      <c r="K48" s="42" t="n">
        <v>0.06977682842312705</v>
      </c>
      <c r="L48" s="42" t="n">
        <v>0.0763532748301375</v>
      </c>
      <c r="M48" s="42" t="n">
        <v>0.08409770661506667</v>
      </c>
      <c r="N48" s="42" t="n">
        <v>0.06860663685067006</v>
      </c>
      <c r="O48" s="42" t="n">
        <v>0.06901810150890936</v>
      </c>
    </row>
    <row r="49">
      <c r="A49" s="39" t="inlineStr">
        <is>
          <t>jun-26</t>
        </is>
      </c>
      <c r="B49" s="29" t="n">
        <v>0.5633989349803004</v>
      </c>
      <c r="C49" s="29" t="n">
        <v>0.2983657422573442</v>
      </c>
      <c r="D49" s="29" t="n">
        <v>0.526580831263215</v>
      </c>
      <c r="E49" s="29" t="n">
        <v>0.575181844342317</v>
      </c>
      <c r="F49" s="29" t="n">
        <v>0.4364441206225806</v>
      </c>
      <c r="G49" s="29" t="n">
        <v>0.5550883414734897</v>
      </c>
      <c r="H49" s="29" t="n">
        <v>0.4741528036104706</v>
      </c>
      <c r="I49" s="29" t="n">
        <v>0.05635398909011595</v>
      </c>
      <c r="J49" s="29" t="n">
        <v>0.05872962336427062</v>
      </c>
      <c r="K49" s="29" t="n">
        <v>0.06337952069045964</v>
      </c>
      <c r="L49" s="29" t="n">
        <v>0.07124661060662907</v>
      </c>
      <c r="M49" s="29" t="n">
        <v>0.07433330569648859</v>
      </c>
      <c r="N49" s="29" t="n">
        <v>0.06179530281812797</v>
      </c>
      <c r="O49" s="29" t="n">
        <v>0.06062156350962453</v>
      </c>
    </row>
    <row r="50">
      <c r="A50" s="40" t="inlineStr">
        <is>
          <t>jul-26</t>
        </is>
      </c>
      <c r="B50" s="42" t="n">
        <v>0.5954848501971248</v>
      </c>
      <c r="C50" s="42" t="n">
        <v>0.3017139958489202</v>
      </c>
      <c r="D50" s="42" t="n">
        <v>0.5413075418429169</v>
      </c>
      <c r="E50" s="42" t="n">
        <v>0.599032902245181</v>
      </c>
      <c r="F50" s="42" t="n">
        <v>0.4336343290364914</v>
      </c>
      <c r="G50" s="42" t="n">
        <v>0.5934838566946793</v>
      </c>
      <c r="H50" s="42" t="n">
        <v>0.4938536891972017</v>
      </c>
      <c r="I50" s="42" t="n">
        <v>0.04789063422581499</v>
      </c>
      <c r="J50" s="42" t="n">
        <v>0.05185223260664138</v>
      </c>
      <c r="K50" s="42" t="n">
        <v>0.05804108471813425</v>
      </c>
      <c r="L50" s="42" t="n">
        <v>0.06235560441337695</v>
      </c>
      <c r="M50" s="42" t="n">
        <v>0.06831728260930901</v>
      </c>
      <c r="N50" s="42" t="n">
        <v>0.05571001620693991</v>
      </c>
      <c r="O50" s="42" t="n">
        <v>0.05318977961317625</v>
      </c>
    </row>
    <row r="51">
      <c r="A51" s="39" t="inlineStr">
        <is>
          <t>ago-26</t>
        </is>
      </c>
      <c r="B51" s="29" t="n">
        <v>0.6124108697933501</v>
      </c>
      <c r="C51" s="29" t="n">
        <v>0.3017139958489223</v>
      </c>
      <c r="D51" s="29" t="n">
        <v>0.547978659583886</v>
      </c>
      <c r="E51" s="29" t="n">
        <v>0.5904987201137701</v>
      </c>
      <c r="F51" s="29" t="n">
        <v>0.4383232653194629</v>
      </c>
      <c r="G51" s="29" t="n">
        <v>0.635094071647059</v>
      </c>
      <c r="H51" s="29" t="n">
        <v>0.5009281828152198</v>
      </c>
      <c r="I51" s="29" t="n"/>
      <c r="J51" s="29" t="n"/>
      <c r="K51" s="29" t="n"/>
      <c r="L51" s="29" t="n"/>
      <c r="M51" s="29" t="n"/>
      <c r="N51" s="29" t="n"/>
      <c r="O51" s="29" t="n"/>
    </row>
    <row r="52">
      <c r="A52" s="36" t="inlineStr">
        <is>
          <t>Situación 2: sin dato en oct-22, nov-22, dic-22, ene-23, feb-23, mar-23, abr-23, may-23, jun-23, jul-23, ago-23, mar-24, abr-24, may-24, jun-24, jul-24, ago-24, sep-24, oct-24, nov-24, dic-24, ene-25, feb-25, abr-25, ago-26. Esos meses de la tabla de hechos por situación no pudieron descargarse en esta actualización (ver Metodología); saldo y mora 3+4+5 están completos.</t>
        </is>
      </c>
    </row>
    <row r="54">
      <c r="A54" s="36" t="inlineStr">
        <is>
          <t>Fuente: EcoGo en base a BCRA, Central de Deudores del Sistema Financiero (24DSF). El saldo incluye irrecuperables fuera de balance (otros conceptos). Los proveedores no financieros no están alcanzados por las normas de previsionamiento y baja de cartera de las entidades financieras: la cartera irrecuperable tiende a quedar informada.</t>
        </is>
      </c>
    </row>
    <row r="55">
      <c r="A55" s="37" t="inlineStr">
        <is>
          <t>www.ecogo.com.ar</t>
        </is>
      </c>
    </row>
  </sheetData>
  <mergeCells count="4">
    <mergeCell ref="A52:O52"/>
    <mergeCell ref="A1:O1"/>
    <mergeCell ref="A2:O2"/>
    <mergeCell ref="A54:O5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3C9794"/>
    <outlinePr summaryBelow="1" summaryRight="1"/>
    <pageSetUpPr/>
  </sheetPr>
  <dimension ref="A1:K12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Préstamos al sector privado: BSF (Carrefour) e IUDÚ (ChangoMás)</t>
        </is>
      </c>
    </row>
    <row r="2">
      <c r="A2" s="2" t="inlineStr">
        <is>
          <t>Balance de cada entidad (IEF), mensual desde dic-16 · $ millones · último dato: jul-26</t>
        </is>
      </c>
    </row>
    <row r="4" ht="44" customHeight="1">
      <c r="A4" s="3" t="inlineStr">
        <is>
          <t>Mes</t>
        </is>
      </c>
      <c r="B4" s="3" t="inlineStr">
        <is>
          <t>BSF: tarjetas</t>
        </is>
      </c>
      <c r="C4" s="3" t="inlineStr">
        <is>
          <t>BSF: personales</t>
        </is>
      </c>
      <c r="D4" s="3" t="inlineStr">
        <is>
          <t>BSF: otros</t>
        </is>
      </c>
      <c r="E4" s="3" t="inlineStr">
        <is>
          <t>BSF: total corrientes</t>
        </is>
      </c>
      <c r="F4" s="3" t="inlineStr">
        <is>
          <t>BSF: total constantes sep-26</t>
        </is>
      </c>
      <c r="G4" s="3" t="inlineStr">
        <is>
          <t>IUDÚ: tarjetas</t>
        </is>
      </c>
      <c r="H4" s="3" t="inlineStr">
        <is>
          <t>IUDÚ: personales</t>
        </is>
      </c>
      <c r="I4" s="3" t="inlineStr">
        <is>
          <t>IUDÚ: otros</t>
        </is>
      </c>
      <c r="J4" s="3" t="inlineStr">
        <is>
          <t>IUDÚ: total corrientes</t>
        </is>
      </c>
      <c r="K4" s="3" t="inlineStr">
        <is>
          <t>IUDÚ: total constantes sep-26</t>
        </is>
      </c>
    </row>
    <row r="5">
      <c r="A5" s="18" t="inlineStr">
        <is>
          <t>dic-16</t>
        </is>
      </c>
      <c r="B5" s="6" t="n">
        <v>3133.749</v>
      </c>
      <c r="C5" s="6" t="n">
        <v>48.235</v>
      </c>
      <c r="D5" s="6" t="n">
        <v>0</v>
      </c>
      <c r="E5" s="6" t="n">
        <v>3181.984</v>
      </c>
      <c r="F5" s="6" t="n">
        <v>398198.276191872</v>
      </c>
      <c r="G5" s="6" t="n">
        <v>1565.116</v>
      </c>
      <c r="H5" s="6" t="n">
        <v>2442.02</v>
      </c>
      <c r="I5" s="6" t="n">
        <v>46.842</v>
      </c>
      <c r="J5" s="6" t="n">
        <v>4053.978</v>
      </c>
      <c r="K5" s="6" t="n">
        <v>507320.9203188239</v>
      </c>
    </row>
    <row r="6">
      <c r="A6" s="19" t="inlineStr">
        <is>
          <t>ene-17</t>
        </is>
      </c>
      <c r="B6" s="20" t="n">
        <v>3121.674</v>
      </c>
      <c r="C6" s="20" t="n">
        <v>44.306</v>
      </c>
      <c r="D6" s="20" t="n">
        <v>0</v>
      </c>
      <c r="E6" s="20" t="n">
        <v>3165.98</v>
      </c>
      <c r="F6" s="20" t="n">
        <v>390010.3375545622</v>
      </c>
      <c r="G6" s="20" t="n">
        <v>1618.229</v>
      </c>
      <c r="H6" s="20" t="n">
        <v>2888.198</v>
      </c>
      <c r="I6" s="20" t="n">
        <v>46.375</v>
      </c>
      <c r="J6" s="20" t="n">
        <v>4552.802</v>
      </c>
      <c r="K6" s="20" t="n">
        <v>560849.9879465713</v>
      </c>
    </row>
    <row r="7">
      <c r="A7" s="18" t="inlineStr">
        <is>
          <t>feb-17</t>
        </is>
      </c>
      <c r="B7" s="6" t="n">
        <v>3092.49</v>
      </c>
      <c r="C7" s="6" t="n">
        <v>42.437</v>
      </c>
      <c r="D7" s="6" t="n">
        <v>0</v>
      </c>
      <c r="E7" s="6" t="n">
        <v>3134.927</v>
      </c>
      <c r="F7" s="6" t="n">
        <v>378363.3958425552</v>
      </c>
      <c r="G7" s="6" t="n">
        <v>1588.474</v>
      </c>
      <c r="H7" s="6" t="n">
        <v>3061.389</v>
      </c>
      <c r="I7" s="6" t="n">
        <v>47.09</v>
      </c>
      <c r="J7" s="6" t="n">
        <v>4696.953</v>
      </c>
      <c r="K7" s="6" t="n">
        <v>566888.8261809214</v>
      </c>
    </row>
    <row r="8">
      <c r="A8" s="19" t="inlineStr">
        <is>
          <t>mar-17</t>
        </is>
      </c>
      <c r="B8" s="20" t="n">
        <v>3077.111</v>
      </c>
      <c r="C8" s="20" t="n">
        <v>38.702</v>
      </c>
      <c r="D8" s="20" t="n">
        <v>0</v>
      </c>
      <c r="E8" s="20" t="n">
        <v>3115.813</v>
      </c>
      <c r="F8" s="20" t="n">
        <v>367335.2364688453</v>
      </c>
      <c r="G8" s="20" t="n">
        <v>1645.758</v>
      </c>
      <c r="H8" s="20" t="n">
        <v>3094.894</v>
      </c>
      <c r="I8" s="20" t="n">
        <v>47.785</v>
      </c>
      <c r="J8" s="20" t="n">
        <v>4788.437</v>
      </c>
      <c r="K8" s="20" t="n">
        <v>564527.3441349554</v>
      </c>
    </row>
    <row r="9">
      <c r="A9" s="18" t="inlineStr">
        <is>
          <t>abr-17</t>
        </is>
      </c>
      <c r="B9" s="6" t="n">
        <v>3135.338</v>
      </c>
      <c r="C9" s="6" t="n">
        <v>37.811</v>
      </c>
      <c r="D9" s="6" t="n">
        <v>0</v>
      </c>
      <c r="E9" s="6" t="n">
        <v>3173.149</v>
      </c>
      <c r="F9" s="6" t="n">
        <v>364416.5152920039</v>
      </c>
      <c r="G9" s="6" t="n">
        <v>1599.977</v>
      </c>
      <c r="H9" s="6" t="n">
        <v>3163.214</v>
      </c>
      <c r="I9" s="6" t="n">
        <v>0.518</v>
      </c>
      <c r="J9" s="6" t="n">
        <v>4763.709</v>
      </c>
      <c r="K9" s="6" t="n">
        <v>547082.4829357702</v>
      </c>
    </row>
    <row r="10">
      <c r="A10" s="19" t="inlineStr">
        <is>
          <t>may-17</t>
        </is>
      </c>
      <c r="B10" s="20" t="n">
        <v>3166.155</v>
      </c>
      <c r="C10" s="20" t="n">
        <v>34.521</v>
      </c>
      <c r="D10" s="20" t="n">
        <v>0</v>
      </c>
      <c r="E10" s="20" t="n">
        <v>3200.676</v>
      </c>
      <c r="F10" s="20" t="n">
        <v>362378.5930343029</v>
      </c>
      <c r="G10" s="20" t="n">
        <v>1688.322</v>
      </c>
      <c r="H10" s="20" t="n">
        <v>3113.904</v>
      </c>
      <c r="I10" s="20" t="n">
        <v>0.323</v>
      </c>
      <c r="J10" s="20" t="n">
        <v>4802.549000000001</v>
      </c>
      <c r="K10" s="20" t="n">
        <v>543741.6813192895</v>
      </c>
    </row>
    <row r="11">
      <c r="A11" s="18" t="inlineStr">
        <is>
          <t>jun-17</t>
        </is>
      </c>
      <c r="B11" s="6" t="n">
        <v>3210.225</v>
      </c>
      <c r="C11" s="6" t="n">
        <v>33.026</v>
      </c>
      <c r="D11" s="6" t="n">
        <v>0</v>
      </c>
      <c r="E11" s="6" t="n">
        <v>3243.251</v>
      </c>
      <c r="F11" s="6" t="n">
        <v>362873.1936038988</v>
      </c>
      <c r="G11" s="6" t="n">
        <v>1684.742</v>
      </c>
      <c r="H11" s="6" t="n">
        <v>2756.597</v>
      </c>
      <c r="I11" s="6" t="n">
        <v>0.232</v>
      </c>
      <c r="J11" s="6" t="n">
        <v>4441.571</v>
      </c>
      <c r="K11" s="6" t="n">
        <v>496947.9862608421</v>
      </c>
    </row>
    <row r="12">
      <c r="A12" s="19" t="inlineStr">
        <is>
          <t>jul-17</t>
        </is>
      </c>
      <c r="B12" s="20" t="n">
        <v>3188.971</v>
      </c>
      <c r="C12" s="20" t="n">
        <v>30.264</v>
      </c>
      <c r="D12" s="20" t="n">
        <v>0</v>
      </c>
      <c r="E12" s="20" t="n">
        <v>3219.235</v>
      </c>
      <c r="F12" s="20" t="n">
        <v>354053.0073387225</v>
      </c>
      <c r="G12" s="20" t="n">
        <v>1653.854</v>
      </c>
      <c r="H12" s="20" t="n">
        <v>3067.235</v>
      </c>
      <c r="I12" s="20" t="n">
        <v>0.169</v>
      </c>
      <c r="J12" s="20" t="n">
        <v>4721.258</v>
      </c>
      <c r="K12" s="20" t="n">
        <v>519246.2163594773</v>
      </c>
    </row>
    <row r="13">
      <c r="A13" s="18" t="inlineStr">
        <is>
          <t>ago-17</t>
        </is>
      </c>
      <c r="B13" s="6" t="n">
        <v>3264.881</v>
      </c>
      <c r="C13" s="6" t="n">
        <v>28.382</v>
      </c>
      <c r="D13" s="6" t="n">
        <v>0</v>
      </c>
      <c r="E13" s="6" t="n">
        <v>3293.263</v>
      </c>
      <c r="F13" s="6" t="n">
        <v>357182.4506795294</v>
      </c>
      <c r="G13" s="6" t="n">
        <v>1704.825</v>
      </c>
      <c r="H13" s="6" t="n">
        <v>3424.176</v>
      </c>
      <c r="I13" s="6" t="n">
        <v>0.142</v>
      </c>
      <c r="J13" s="6" t="n">
        <v>5129.143</v>
      </c>
      <c r="K13" s="6" t="n">
        <v>556299.2893752347</v>
      </c>
    </row>
    <row r="14">
      <c r="A14" s="19" t="inlineStr">
        <is>
          <t>sep-17</t>
        </is>
      </c>
      <c r="B14" s="20" t="n">
        <v>3194.333</v>
      </c>
      <c r="C14" s="20" t="n">
        <v>25.948</v>
      </c>
      <c r="D14" s="20" t="n">
        <v>0</v>
      </c>
      <c r="E14" s="20" t="n">
        <v>3220.281</v>
      </c>
      <c r="F14" s="20" t="n">
        <v>342761.1704189079</v>
      </c>
      <c r="G14" s="20" t="n">
        <v>1705.833</v>
      </c>
      <c r="H14" s="20" t="n">
        <v>3764.677</v>
      </c>
      <c r="I14" s="20" t="n">
        <v>4.217000000000001</v>
      </c>
      <c r="J14" s="20" t="n">
        <v>5474.727</v>
      </c>
      <c r="K14" s="20" t="n">
        <v>582720.5247753212</v>
      </c>
    </row>
    <row r="15">
      <c r="A15" s="18" t="inlineStr">
        <is>
          <t>oct-17</t>
        </is>
      </c>
      <c r="B15" s="6" t="n">
        <v>3271.219</v>
      </c>
      <c r="C15" s="6" t="n">
        <v>24.739</v>
      </c>
      <c r="D15" s="6" t="n">
        <v>0</v>
      </c>
      <c r="E15" s="6" t="n">
        <v>3295.958</v>
      </c>
      <c r="F15" s="6" t="n">
        <v>345581.464720278</v>
      </c>
      <c r="G15" s="6" t="n">
        <v>2258.855</v>
      </c>
      <c r="H15" s="6" t="n">
        <v>3993.859</v>
      </c>
      <c r="I15" s="6" t="n">
        <v>0.07200000000000001</v>
      </c>
      <c r="J15" s="6" t="n">
        <v>6252.786</v>
      </c>
      <c r="K15" s="6" t="n">
        <v>655605.1213220704</v>
      </c>
    </row>
    <row r="16">
      <c r="A16" s="19" t="inlineStr">
        <is>
          <t>nov-17</t>
        </is>
      </c>
      <c r="B16" s="20" t="n">
        <v>3198.419</v>
      </c>
      <c r="C16" s="20" t="n">
        <v>21.174</v>
      </c>
      <c r="D16" s="20" t="n">
        <v>0</v>
      </c>
      <c r="E16" s="20" t="n">
        <v>3219.593</v>
      </c>
      <c r="F16" s="20" t="n">
        <v>332995.622234362</v>
      </c>
      <c r="G16" s="20" t="n">
        <v>2403.299</v>
      </c>
      <c r="H16" s="20" t="n">
        <v>3968.036</v>
      </c>
      <c r="I16" s="20" t="n">
        <v>0.05</v>
      </c>
      <c r="J16" s="20" t="n">
        <v>6371.385</v>
      </c>
      <c r="K16" s="20" t="n">
        <v>658978.7319607419</v>
      </c>
    </row>
    <row r="17">
      <c r="A17" s="18" t="inlineStr">
        <is>
          <t>dic-17</t>
        </is>
      </c>
      <c r="B17" s="6" t="n">
        <v>3402.9</v>
      </c>
      <c r="C17" s="6" t="n">
        <v>18.152</v>
      </c>
      <c r="D17" s="6" t="n">
        <v>0</v>
      </c>
      <c r="E17" s="6" t="n">
        <v>3421.052</v>
      </c>
      <c r="F17" s="6" t="n">
        <v>343053.4459759928</v>
      </c>
      <c r="G17" s="6" t="n">
        <v>2442.655</v>
      </c>
      <c r="H17" s="6" t="n">
        <v>3773.928</v>
      </c>
      <c r="I17" s="6" t="n">
        <v>0.037</v>
      </c>
      <c r="J17" s="6" t="n">
        <v>6216.620000000001</v>
      </c>
      <c r="K17" s="6" t="n">
        <v>623385.1205194414</v>
      </c>
    </row>
    <row r="18">
      <c r="A18" s="19" t="inlineStr">
        <is>
          <t>ene-18</t>
        </is>
      </c>
      <c r="B18" s="20" t="n">
        <v>3394.281</v>
      </c>
      <c r="C18" s="20" t="n">
        <v>14.656</v>
      </c>
      <c r="D18" s="20" t="n">
        <v>0</v>
      </c>
      <c r="E18" s="20" t="n">
        <v>3408.937</v>
      </c>
      <c r="F18" s="20" t="n">
        <v>335935.0216649167</v>
      </c>
      <c r="G18" s="20" t="n">
        <v>2459.674</v>
      </c>
      <c r="H18" s="20" t="n">
        <v>5324.374</v>
      </c>
      <c r="I18" s="20" t="n">
        <v>0.134</v>
      </c>
      <c r="J18" s="20" t="n">
        <v>7784.182</v>
      </c>
      <c r="K18" s="20" t="n">
        <v>767095.2407784755</v>
      </c>
    </row>
    <row r="19">
      <c r="A19" s="18" t="inlineStr">
        <is>
          <t>feb-18</t>
        </is>
      </c>
      <c r="B19" s="6" t="n">
        <v>3436.851</v>
      </c>
      <c r="C19" s="6" t="n">
        <v>13.953</v>
      </c>
      <c r="D19" s="6" t="n">
        <v>0</v>
      </c>
      <c r="E19" s="6" t="n">
        <v>3450.804</v>
      </c>
      <c r="F19" s="6" t="n">
        <v>332028.9283398908</v>
      </c>
      <c r="G19" s="6" t="n">
        <v>2452.575</v>
      </c>
      <c r="H19" s="6" t="n">
        <v>5351.779</v>
      </c>
      <c r="I19" s="6" t="n">
        <v>0.203</v>
      </c>
      <c r="J19" s="6" t="n">
        <v>7804.557000000002</v>
      </c>
      <c r="K19" s="6" t="n">
        <v>750937.6646362974</v>
      </c>
    </row>
    <row r="20">
      <c r="A20" s="19" t="inlineStr">
        <is>
          <t>mar-18</t>
        </is>
      </c>
      <c r="B20" s="20" t="n">
        <v>3412.435</v>
      </c>
      <c r="C20" s="20" t="n">
        <v>13.189</v>
      </c>
      <c r="D20" s="20" t="n">
        <v>0</v>
      </c>
      <c r="E20" s="20" t="n">
        <v>3425.624</v>
      </c>
      <c r="F20" s="20" t="n">
        <v>322066.3873899872</v>
      </c>
      <c r="G20" s="20" t="n">
        <v>2426.086</v>
      </c>
      <c r="H20" s="20" t="n">
        <v>5372.951</v>
      </c>
      <c r="I20" s="20" t="n">
        <v>0.243</v>
      </c>
      <c r="J20" s="20" t="n">
        <v>7799.280000000001</v>
      </c>
      <c r="K20" s="20" t="n">
        <v>733263.7597830291</v>
      </c>
    </row>
    <row r="21">
      <c r="A21" s="18" t="inlineStr">
        <is>
          <t>abr-18</t>
        </is>
      </c>
      <c r="B21" s="6" t="n">
        <v>3466.014</v>
      </c>
      <c r="C21" s="6" t="n">
        <v>12.188</v>
      </c>
      <c r="D21" s="6" t="n">
        <v>0</v>
      </c>
      <c r="E21" s="6" t="n">
        <v>3478.202</v>
      </c>
      <c r="F21" s="6" t="n">
        <v>318291.4982893137</v>
      </c>
      <c r="G21" s="6" t="n">
        <v>2459.701</v>
      </c>
      <c r="H21" s="6" t="n">
        <v>5434.945</v>
      </c>
      <c r="I21" s="6" t="n">
        <v>0.238</v>
      </c>
      <c r="J21" s="6" t="n">
        <v>7894.884</v>
      </c>
      <c r="K21" s="6" t="n">
        <v>722463.6341363526</v>
      </c>
    </row>
    <row r="22">
      <c r="A22" s="19" t="inlineStr">
        <is>
          <t>may-18</t>
        </is>
      </c>
      <c r="B22" s="20" t="n">
        <v>3577.857</v>
      </c>
      <c r="C22" s="20" t="n">
        <v>11.331</v>
      </c>
      <c r="D22" s="20" t="n">
        <v>0</v>
      </c>
      <c r="E22" s="20" t="n">
        <v>3589.188</v>
      </c>
      <c r="F22" s="20" t="n">
        <v>321769.93423959</v>
      </c>
      <c r="G22" s="20" t="n">
        <v>2562.879</v>
      </c>
      <c r="H22" s="20" t="n">
        <v>5456.317</v>
      </c>
      <c r="I22" s="20" t="n">
        <v>103.284</v>
      </c>
      <c r="J22" s="20" t="n">
        <v>8122.48</v>
      </c>
      <c r="K22" s="20" t="n">
        <v>728178.589547938</v>
      </c>
    </row>
    <row r="23">
      <c r="A23" s="18" t="inlineStr">
        <is>
          <t>jun-18</t>
        </is>
      </c>
      <c r="B23" s="6" t="n">
        <v>4009.7</v>
      </c>
      <c r="C23" s="6" t="n">
        <v>10.124</v>
      </c>
      <c r="D23" s="6" t="n">
        <v>0</v>
      </c>
      <c r="E23" s="6" t="n">
        <v>4019.824</v>
      </c>
      <c r="F23" s="6" t="n">
        <v>347395.3213415476</v>
      </c>
      <c r="G23" s="6" t="n">
        <v>2485.221</v>
      </c>
      <c r="H23" s="6" t="n">
        <v>5484.882000000001</v>
      </c>
      <c r="I23" s="6" t="n">
        <v>149.361</v>
      </c>
      <c r="J23" s="6" t="n">
        <v>8119.464000000001</v>
      </c>
      <c r="K23" s="6" t="n">
        <v>701688.3837205628</v>
      </c>
    </row>
    <row r="24">
      <c r="A24" s="19" t="inlineStr">
        <is>
          <t>jul-18</t>
        </is>
      </c>
      <c r="B24" s="20" t="n">
        <v>4114.941</v>
      </c>
      <c r="C24" s="20" t="n">
        <v>9.302</v>
      </c>
      <c r="D24" s="20" t="n">
        <v>0</v>
      </c>
      <c r="E24" s="20" t="n">
        <v>4124.242999999999</v>
      </c>
      <c r="F24" s="20" t="n">
        <v>345697.0810979244</v>
      </c>
      <c r="G24" s="20" t="n">
        <v>2436.714</v>
      </c>
      <c r="H24" s="20" t="n">
        <v>5414.905</v>
      </c>
      <c r="I24" s="20" t="n">
        <v>206.791</v>
      </c>
      <c r="J24" s="20" t="n">
        <v>8058.41</v>
      </c>
      <c r="K24" s="20" t="n">
        <v>675461.8520999673</v>
      </c>
    </row>
    <row r="25">
      <c r="A25" s="18" t="inlineStr">
        <is>
          <t>ago-18</t>
        </is>
      </c>
      <c r="B25" s="6" t="n">
        <v>4287.219</v>
      </c>
      <c r="C25" s="6" t="n">
        <v>8.414</v>
      </c>
      <c r="D25" s="6" t="n">
        <v>0</v>
      </c>
      <c r="E25" s="6" t="n">
        <v>4295.633</v>
      </c>
      <c r="F25" s="6" t="n">
        <v>346582.9836319281</v>
      </c>
      <c r="G25" s="6" t="n">
        <v>2511.744</v>
      </c>
      <c r="H25" s="6" t="n">
        <v>5376.225</v>
      </c>
      <c r="I25" s="6" t="n">
        <v>271.896</v>
      </c>
      <c r="J25" s="6" t="n">
        <v>8159.865000000001</v>
      </c>
      <c r="K25" s="6" t="n">
        <v>658359.3984248056</v>
      </c>
    </row>
    <row r="26">
      <c r="A26" s="19" t="inlineStr">
        <is>
          <t>sep-18</t>
        </is>
      </c>
      <c r="B26" s="20" t="n">
        <v>4302.440000000001</v>
      </c>
      <c r="C26" s="20" t="n">
        <v>7.594</v>
      </c>
      <c r="D26" s="20" t="n">
        <v>0</v>
      </c>
      <c r="E26" s="20" t="n">
        <v>4310.034000000001</v>
      </c>
      <c r="F26" s="20" t="n">
        <v>326415.9424850486</v>
      </c>
      <c r="G26" s="20" t="n">
        <v>2421.598</v>
      </c>
      <c r="H26" s="20" t="n">
        <v>5288.17</v>
      </c>
      <c r="I26" s="20" t="n">
        <v>317.146</v>
      </c>
      <c r="J26" s="20" t="n">
        <v>8026.914</v>
      </c>
      <c r="K26" s="20" t="n">
        <v>607909.9836698343</v>
      </c>
    </row>
    <row r="27">
      <c r="A27" s="18" t="inlineStr">
        <is>
          <t>oct-18</t>
        </is>
      </c>
      <c r="B27" s="6" t="n">
        <v>4416.052</v>
      </c>
      <c r="C27" s="6" t="n">
        <v>6.633</v>
      </c>
      <c r="D27" s="6" t="n">
        <v>0</v>
      </c>
      <c r="E27" s="6" t="n">
        <v>4422.684999999999</v>
      </c>
      <c r="F27" s="6" t="n">
        <v>317812.2602584019</v>
      </c>
      <c r="G27" s="6" t="n">
        <v>2518.893</v>
      </c>
      <c r="H27" s="6" t="n">
        <v>5209.872</v>
      </c>
      <c r="I27" s="6" t="n">
        <v>355.052</v>
      </c>
      <c r="J27" s="6" t="n">
        <v>8083.817</v>
      </c>
      <c r="K27" s="6" t="n">
        <v>580899.6463201186</v>
      </c>
    </row>
    <row r="28">
      <c r="A28" s="19" t="inlineStr">
        <is>
          <t>nov-18</t>
        </is>
      </c>
      <c r="B28" s="20" t="n">
        <v>4453.916</v>
      </c>
      <c r="C28" s="20" t="n">
        <v>5.991000000000001</v>
      </c>
      <c r="D28" s="20" t="n">
        <v>0</v>
      </c>
      <c r="E28" s="20" t="n">
        <v>4459.907</v>
      </c>
      <c r="F28" s="20" t="n">
        <v>310689.832886746</v>
      </c>
      <c r="G28" s="20" t="n">
        <v>2535.116</v>
      </c>
      <c r="H28" s="20" t="n">
        <v>5106.409000000001</v>
      </c>
      <c r="I28" s="20" t="n">
        <v>382.36</v>
      </c>
      <c r="J28" s="20" t="n">
        <v>8023.885</v>
      </c>
      <c r="K28" s="20" t="n">
        <v>558966.6981290121</v>
      </c>
    </row>
    <row r="29">
      <c r="A29" s="18" t="inlineStr">
        <is>
          <t>dic-18</t>
        </is>
      </c>
      <c r="B29" s="6" t="n">
        <v>4668.515</v>
      </c>
      <c r="C29" s="6" t="n">
        <v>5.689</v>
      </c>
      <c r="D29" s="6" t="n">
        <v>0</v>
      </c>
      <c r="E29" s="6" t="n">
        <v>4674.204000000001</v>
      </c>
      <c r="F29" s="6" t="n">
        <v>317460.2058773006</v>
      </c>
      <c r="G29" s="6" t="n">
        <v>2529.475</v>
      </c>
      <c r="H29" s="6" t="n">
        <v>4956.26</v>
      </c>
      <c r="I29" s="6" t="n">
        <v>401.14</v>
      </c>
      <c r="J29" s="6" t="n">
        <v>7886.875000000001</v>
      </c>
      <c r="K29" s="6" t="n">
        <v>535656.75807657</v>
      </c>
    </row>
    <row r="30">
      <c r="A30" s="19" t="inlineStr">
        <is>
          <t>ene-19</t>
        </is>
      </c>
      <c r="B30" s="20" t="n">
        <v>4701.628</v>
      </c>
      <c r="C30" s="20" t="n">
        <v>5.146</v>
      </c>
      <c r="D30" s="20" t="n">
        <v>0</v>
      </c>
      <c r="E30" s="20" t="n">
        <v>4706.773999999999</v>
      </c>
      <c r="F30" s="20" t="n">
        <v>310644.2094462225</v>
      </c>
      <c r="G30" s="20" t="n">
        <v>2536.694</v>
      </c>
      <c r="H30" s="20" t="n">
        <v>4898.592000000001</v>
      </c>
      <c r="I30" s="20" t="n">
        <v>430.976</v>
      </c>
      <c r="J30" s="20" t="n">
        <v>7866.262</v>
      </c>
      <c r="K30" s="20" t="n">
        <v>519168.4878617204</v>
      </c>
    </row>
    <row r="31">
      <c r="A31" s="18" t="inlineStr">
        <is>
          <t>feb-19</t>
        </is>
      </c>
      <c r="B31" s="6" t="n">
        <v>4663.518</v>
      </c>
      <c r="C31" s="6" t="n">
        <v>4.988</v>
      </c>
      <c r="D31" s="6" t="n">
        <v>0</v>
      </c>
      <c r="E31" s="6" t="n">
        <v>4668.506</v>
      </c>
      <c r="F31" s="6" t="n">
        <v>296937.0185565588</v>
      </c>
      <c r="G31" s="6" t="n">
        <v>2475.905</v>
      </c>
      <c r="H31" s="6" t="n">
        <v>4779.42</v>
      </c>
      <c r="I31" s="6" t="n">
        <v>393.416</v>
      </c>
      <c r="J31" s="6" t="n">
        <v>7648.741000000001</v>
      </c>
      <c r="K31" s="6" t="n">
        <v>486492.7555520572</v>
      </c>
    </row>
    <row r="32">
      <c r="A32" s="19" t="inlineStr">
        <is>
          <t>mar-19</t>
        </is>
      </c>
      <c r="B32" s="20" t="n">
        <v>4714.153</v>
      </c>
      <c r="C32" s="20" t="n">
        <v>4.681</v>
      </c>
      <c r="D32" s="20" t="n">
        <v>0</v>
      </c>
      <c r="E32" s="20" t="n">
        <v>4718.834</v>
      </c>
      <c r="F32" s="20" t="n">
        <v>286720.87670766</v>
      </c>
      <c r="G32" s="20" t="n">
        <v>2431.847</v>
      </c>
      <c r="H32" s="20" t="n">
        <v>4720.145</v>
      </c>
      <c r="I32" s="20" t="n">
        <v>408.175</v>
      </c>
      <c r="J32" s="20" t="n">
        <v>7560.167</v>
      </c>
      <c r="K32" s="20" t="n">
        <v>459362.9931242167</v>
      </c>
    </row>
    <row r="33">
      <c r="A33" s="18" t="inlineStr">
        <is>
          <t>abr-19</t>
        </is>
      </c>
      <c r="B33" s="6" t="n">
        <v>4759.328</v>
      </c>
      <c r="C33" s="6" t="n">
        <v>4.421</v>
      </c>
      <c r="D33" s="6" t="n">
        <v>0</v>
      </c>
      <c r="E33" s="6" t="n">
        <v>4763.749000000001</v>
      </c>
      <c r="F33" s="6" t="n">
        <v>279811.3010097981</v>
      </c>
      <c r="G33" s="6" t="n">
        <v>2418.892</v>
      </c>
      <c r="H33" s="6" t="n">
        <v>4574.492</v>
      </c>
      <c r="I33" s="6" t="n">
        <v>464.12</v>
      </c>
      <c r="J33" s="6" t="n">
        <v>7457.504</v>
      </c>
      <c r="K33" s="6" t="n">
        <v>438036.0712803662</v>
      </c>
    </row>
    <row r="34">
      <c r="A34" s="19" t="inlineStr">
        <is>
          <t>may-19</t>
        </is>
      </c>
      <c r="B34" s="20" t="n">
        <v>4673.872</v>
      </c>
      <c r="C34" s="20" t="n">
        <v>4.026</v>
      </c>
      <c r="D34" s="20" t="n">
        <v>0</v>
      </c>
      <c r="E34" s="20" t="n">
        <v>4677.898</v>
      </c>
      <c r="F34" s="20" t="n">
        <v>266612.7474176394</v>
      </c>
      <c r="G34" s="20" t="n">
        <v>2377.197</v>
      </c>
      <c r="H34" s="20" t="n">
        <v>4385.61</v>
      </c>
      <c r="I34" s="20" t="n">
        <v>452.217</v>
      </c>
      <c r="J34" s="20" t="n">
        <v>7215.023999999999</v>
      </c>
      <c r="K34" s="20" t="n">
        <v>411214.0477035211</v>
      </c>
    </row>
    <row r="35">
      <c r="A35" s="18" t="inlineStr">
        <is>
          <t>jun-19</t>
        </is>
      </c>
      <c r="B35" s="6" t="n">
        <v>4675.134</v>
      </c>
      <c r="C35" s="6" t="n">
        <v>3.664</v>
      </c>
      <c r="D35" s="6" t="n">
        <v>0</v>
      </c>
      <c r="E35" s="6" t="n">
        <v>4678.798</v>
      </c>
      <c r="F35" s="6" t="n">
        <v>259607.8857781135</v>
      </c>
      <c r="G35" s="6" t="n">
        <v>2336.558</v>
      </c>
      <c r="H35" s="6" t="n">
        <v>4073.601</v>
      </c>
      <c r="I35" s="6" t="n">
        <v>445.03</v>
      </c>
      <c r="J35" s="6" t="n">
        <v>6855.188999999999</v>
      </c>
      <c r="K35" s="6" t="n">
        <v>380367.1632969366</v>
      </c>
    </row>
    <row r="36">
      <c r="A36" s="19" t="inlineStr">
        <is>
          <t>jul-19</t>
        </is>
      </c>
      <c r="B36" s="20" t="n">
        <v>4567.195</v>
      </c>
      <c r="C36" s="20" t="n">
        <v>3.286</v>
      </c>
      <c r="D36" s="20" t="n">
        <v>0</v>
      </c>
      <c r="E36" s="20" t="n">
        <v>4570.481</v>
      </c>
      <c r="F36" s="20" t="n">
        <v>248143.9363390578</v>
      </c>
      <c r="G36" s="20" t="n">
        <v>2412.956</v>
      </c>
      <c r="H36" s="20" t="n">
        <v>3733.929</v>
      </c>
      <c r="I36" s="20" t="n">
        <v>441.665</v>
      </c>
      <c r="J36" s="20" t="n">
        <v>6588.55</v>
      </c>
      <c r="K36" s="20" t="n">
        <v>357710.4317393945</v>
      </c>
    </row>
    <row r="37">
      <c r="A37" s="18" t="inlineStr">
        <is>
          <t>ago-19</t>
        </is>
      </c>
      <c r="B37" s="6" t="n">
        <v>4569.242</v>
      </c>
      <c r="C37" s="6" t="n">
        <v>3.038</v>
      </c>
      <c r="D37" s="6" t="n">
        <v>0</v>
      </c>
      <c r="E37" s="6" t="n">
        <v>4572.28</v>
      </c>
      <c r="F37" s="6" t="n">
        <v>238799.5102821153</v>
      </c>
      <c r="G37" s="6" t="n">
        <v>2315.649</v>
      </c>
      <c r="H37" s="6" t="n">
        <v>3646.203</v>
      </c>
      <c r="I37" s="6" t="n">
        <v>457.393</v>
      </c>
      <c r="J37" s="6" t="n">
        <v>6419.245</v>
      </c>
      <c r="K37" s="6" t="n">
        <v>335262.1804397188</v>
      </c>
    </row>
    <row r="38">
      <c r="A38" s="19" t="inlineStr">
        <is>
          <t>sep-19</t>
        </is>
      </c>
      <c r="B38" s="20" t="n">
        <v>4591.42</v>
      </c>
      <c r="C38" s="20" t="n">
        <v>2.623</v>
      </c>
      <c r="D38" s="20" t="n">
        <v>0</v>
      </c>
      <c r="E38" s="20" t="n">
        <v>4594.043</v>
      </c>
      <c r="F38" s="20" t="n">
        <v>226599.2730433558</v>
      </c>
      <c r="G38" s="20" t="n">
        <v>2319.788</v>
      </c>
      <c r="H38" s="20" t="n">
        <v>3487.057</v>
      </c>
      <c r="I38" s="20" t="n">
        <v>521.51</v>
      </c>
      <c r="J38" s="20" t="n">
        <v>6328.355</v>
      </c>
      <c r="K38" s="20" t="n">
        <v>312143.4959490553</v>
      </c>
    </row>
    <row r="39">
      <c r="A39" s="18" t="inlineStr">
        <is>
          <t>oct-19</t>
        </is>
      </c>
      <c r="B39" s="6" t="n">
        <v>4694.107</v>
      </c>
      <c r="C39" s="6" t="n">
        <v>2.31</v>
      </c>
      <c r="D39" s="6" t="n">
        <v>0</v>
      </c>
      <c r="E39" s="6" t="n">
        <v>4696.417</v>
      </c>
      <c r="F39" s="6" t="n">
        <v>224262.7740012294</v>
      </c>
      <c r="G39" s="6" t="n">
        <v>2334.18</v>
      </c>
      <c r="H39" s="6" t="n">
        <v>3292.253</v>
      </c>
      <c r="I39" s="6" t="n">
        <v>569.713</v>
      </c>
      <c r="J39" s="6" t="n">
        <v>6196.146</v>
      </c>
      <c r="K39" s="6" t="n">
        <v>295877.6637757298</v>
      </c>
    </row>
    <row r="40">
      <c r="A40" s="19" t="inlineStr">
        <is>
          <t>nov-19</t>
        </is>
      </c>
      <c r="B40" s="20" t="n">
        <v>4748.023</v>
      </c>
      <c r="C40" s="20" t="n">
        <v>2.192</v>
      </c>
      <c r="D40" s="20" t="n">
        <v>0</v>
      </c>
      <c r="E40" s="20" t="n">
        <v>4750.215</v>
      </c>
      <c r="F40" s="20" t="n">
        <v>217574.9237138628</v>
      </c>
      <c r="G40" s="20" t="n">
        <v>2390.105</v>
      </c>
      <c r="H40" s="20" t="n">
        <v>3150.111</v>
      </c>
      <c r="I40" s="20" t="n">
        <v>529.619</v>
      </c>
      <c r="J40" s="20" t="n">
        <v>6069.835</v>
      </c>
      <c r="K40" s="20" t="n">
        <v>278017.7080575794</v>
      </c>
    </row>
    <row r="41">
      <c r="A41" s="18" t="inlineStr">
        <is>
          <t>dic-19</t>
        </is>
      </c>
      <c r="B41" s="6" t="n">
        <v>5045.622</v>
      </c>
      <c r="C41" s="6" t="n">
        <v>2.04</v>
      </c>
      <c r="D41" s="6" t="n">
        <v>0</v>
      </c>
      <c r="E41" s="6" t="n">
        <v>5047.662</v>
      </c>
      <c r="F41" s="6" t="n">
        <v>222855.8688286075</v>
      </c>
      <c r="G41" s="6" t="n">
        <v>2416.831</v>
      </c>
      <c r="H41" s="6" t="n">
        <v>3019.82</v>
      </c>
      <c r="I41" s="6" t="n">
        <v>508.441</v>
      </c>
      <c r="J41" s="6" t="n">
        <v>5945.092</v>
      </c>
      <c r="K41" s="6" t="n">
        <v>262477.686288425</v>
      </c>
    </row>
    <row r="42">
      <c r="A42" s="19" t="inlineStr">
        <is>
          <t>ene-20</t>
        </is>
      </c>
      <c r="B42" s="20" t="n">
        <v>5247.475</v>
      </c>
      <c r="C42" s="20" t="n">
        <v>3.934</v>
      </c>
      <c r="D42" s="20" t="n">
        <v>0</v>
      </c>
      <c r="E42" s="20" t="n">
        <v>5251.409000000001</v>
      </c>
      <c r="F42" s="20" t="n">
        <v>226743.0797805099</v>
      </c>
      <c r="G42" s="20" t="n">
        <v>2412.151</v>
      </c>
      <c r="H42" s="20" t="n">
        <v>2974.815</v>
      </c>
      <c r="I42" s="20" t="n">
        <v>540.576</v>
      </c>
      <c r="J42" s="20" t="n">
        <v>5927.542</v>
      </c>
      <c r="K42" s="20" t="n">
        <v>255936.859728184</v>
      </c>
    </row>
    <row r="43">
      <c r="A43" s="18" t="inlineStr">
        <is>
          <t>feb-20</t>
        </is>
      </c>
      <c r="B43" s="6" t="n">
        <v>5289.47</v>
      </c>
      <c r="C43" s="6" t="n">
        <v>3.698</v>
      </c>
      <c r="D43" s="6" t="n">
        <v>0</v>
      </c>
      <c r="E43" s="6" t="n">
        <v>5293.168000000001</v>
      </c>
      <c r="F43" s="6" t="n">
        <v>224034.8993855716</v>
      </c>
      <c r="G43" s="6" t="n">
        <v>2348.195</v>
      </c>
      <c r="H43" s="6" t="n">
        <v>2984.451</v>
      </c>
      <c r="I43" s="6" t="n">
        <v>565.0500000000001</v>
      </c>
      <c r="J43" s="6" t="n">
        <v>5897.696000000001</v>
      </c>
      <c r="K43" s="6" t="n">
        <v>249621.7255841281</v>
      </c>
    </row>
    <row r="44">
      <c r="A44" s="19" t="inlineStr">
        <is>
          <t>mar-20</t>
        </is>
      </c>
      <c r="B44" s="20" t="n">
        <v>5108.041</v>
      </c>
      <c r="C44" s="20" t="n">
        <v>1.408</v>
      </c>
      <c r="D44" s="20" t="n">
        <v>0</v>
      </c>
      <c r="E44" s="20" t="n">
        <v>5109.449000000001</v>
      </c>
      <c r="F44" s="20" t="n">
        <v>209262.3184337475</v>
      </c>
      <c r="G44" s="20" t="n">
        <v>2474.76</v>
      </c>
      <c r="H44" s="20" t="n">
        <v>2923.345</v>
      </c>
      <c r="I44" s="20" t="n">
        <v>579.139</v>
      </c>
      <c r="J44" s="20" t="n">
        <v>5977.244000000001</v>
      </c>
      <c r="K44" s="20" t="n">
        <v>244803.6837796418</v>
      </c>
    </row>
    <row r="45">
      <c r="A45" s="18" t="inlineStr">
        <is>
          <t>abr-20</t>
        </is>
      </c>
      <c r="B45" s="6" t="n">
        <v>4911.934</v>
      </c>
      <c r="C45" s="6" t="n">
        <v>1.347</v>
      </c>
      <c r="D45" s="6" t="n">
        <v>0</v>
      </c>
      <c r="E45" s="6" t="n">
        <v>4913.281</v>
      </c>
      <c r="F45" s="6" t="n">
        <v>198260.9532912281</v>
      </c>
      <c r="G45" s="6" t="n">
        <v>2189.291</v>
      </c>
      <c r="H45" s="6" t="n">
        <v>2769.343</v>
      </c>
      <c r="I45" s="6" t="n">
        <v>699.522</v>
      </c>
      <c r="J45" s="6" t="n">
        <v>5658.156</v>
      </c>
      <c r="K45" s="6" t="n">
        <v>228318.185430567</v>
      </c>
    </row>
    <row r="46">
      <c r="A46" s="19" t="inlineStr">
        <is>
          <t>may-20</t>
        </is>
      </c>
      <c r="B46" s="20" t="n">
        <v>4692.926</v>
      </c>
      <c r="C46" s="20" t="n">
        <v>1.247</v>
      </c>
      <c r="D46" s="20" t="n">
        <v>0</v>
      </c>
      <c r="E46" s="20" t="n">
        <v>4694.173000000001</v>
      </c>
      <c r="F46" s="20" t="n">
        <v>186541.6509714987</v>
      </c>
      <c r="G46" s="20" t="n">
        <v>2224.752</v>
      </c>
      <c r="H46" s="20" t="n">
        <v>2710.367</v>
      </c>
      <c r="I46" s="20" t="n">
        <v>705.946</v>
      </c>
      <c r="J46" s="20" t="n">
        <v>5641.065000000001</v>
      </c>
      <c r="K46" s="20" t="n">
        <v>224170.17403013</v>
      </c>
    </row>
    <row r="47">
      <c r="A47" s="18" t="inlineStr">
        <is>
          <t>jun-20</t>
        </is>
      </c>
      <c r="B47" s="6" t="n">
        <v>4611.797</v>
      </c>
      <c r="C47" s="6" t="n">
        <v>1.131</v>
      </c>
      <c r="D47" s="6" t="n">
        <v>0</v>
      </c>
      <c r="E47" s="6" t="n">
        <v>4612.928000000001</v>
      </c>
      <c r="F47" s="6" t="n">
        <v>179290.6025941937</v>
      </c>
      <c r="G47" s="6" t="n">
        <v>2311.45</v>
      </c>
      <c r="H47" s="6" t="n">
        <v>2692.115</v>
      </c>
      <c r="I47" s="6" t="n">
        <v>729.992</v>
      </c>
      <c r="J47" s="6" t="n">
        <v>5733.557000000001</v>
      </c>
      <c r="K47" s="6" t="n">
        <v>222846.0729363557</v>
      </c>
    </row>
    <row r="48">
      <c r="A48" s="19" t="inlineStr">
        <is>
          <t>jul-20</t>
        </is>
      </c>
      <c r="B48" s="20" t="n">
        <v>4395.28</v>
      </c>
      <c r="C48" s="20" t="n">
        <v>1.107</v>
      </c>
      <c r="D48" s="20" t="n">
        <v>0</v>
      </c>
      <c r="E48" s="20" t="n">
        <v>4396.387</v>
      </c>
      <c r="F48" s="20" t="n">
        <v>167631.9780877217</v>
      </c>
      <c r="G48" s="20" t="n">
        <v>2371.288</v>
      </c>
      <c r="H48" s="20" t="n">
        <v>2646.711</v>
      </c>
      <c r="I48" s="20" t="n">
        <v>689.888</v>
      </c>
      <c r="J48" s="20" t="n">
        <v>5707.887</v>
      </c>
      <c r="K48" s="20" t="n">
        <v>217638.7994303486</v>
      </c>
    </row>
    <row r="49">
      <c r="A49" s="18" t="inlineStr">
        <is>
          <t>ago-20</t>
        </is>
      </c>
      <c r="B49" s="6" t="n">
        <v>4362.911</v>
      </c>
      <c r="C49" s="6" t="n">
        <v>1.023</v>
      </c>
      <c r="D49" s="6" t="n">
        <v>0</v>
      </c>
      <c r="E49" s="6" t="n">
        <v>4363.934</v>
      </c>
      <c r="F49" s="6" t="n">
        <v>162019.8471896285</v>
      </c>
      <c r="G49" s="6" t="n">
        <v>2475.379</v>
      </c>
      <c r="H49" s="6" t="n">
        <v>2677.967</v>
      </c>
      <c r="I49" s="6" t="n">
        <v>786.95</v>
      </c>
      <c r="J49" s="6" t="n">
        <v>5940.295999999999</v>
      </c>
      <c r="K49" s="6" t="n">
        <v>220545.4642946391</v>
      </c>
    </row>
    <row r="50">
      <c r="A50" s="19" t="inlineStr">
        <is>
          <t>sep-20</t>
        </is>
      </c>
      <c r="B50" s="20" t="n">
        <v>4464.199000000001</v>
      </c>
      <c r="C50" s="20" t="n">
        <v>0.975</v>
      </c>
      <c r="D50" s="20" t="n">
        <v>0</v>
      </c>
      <c r="E50" s="20" t="n">
        <v>4465.174000000001</v>
      </c>
      <c r="F50" s="20" t="n">
        <v>161207.512373725</v>
      </c>
      <c r="G50" s="20" t="n">
        <v>2503.218</v>
      </c>
      <c r="H50" s="20" t="n">
        <v>2801.109</v>
      </c>
      <c r="I50" s="20" t="n">
        <v>856.845</v>
      </c>
      <c r="J50" s="20" t="n">
        <v>6161.172</v>
      </c>
      <c r="K50" s="20" t="n">
        <v>222438.6354096498</v>
      </c>
    </row>
    <row r="51">
      <c r="A51" s="18" t="inlineStr">
        <is>
          <t>oct-20</t>
        </is>
      </c>
      <c r="B51" s="6" t="n">
        <v>4438.589</v>
      </c>
      <c r="C51" s="6" t="n">
        <v>0.92</v>
      </c>
      <c r="D51" s="6" t="n">
        <v>0</v>
      </c>
      <c r="E51" s="6" t="n">
        <v>4439.509</v>
      </c>
      <c r="F51" s="6" t="n">
        <v>154471.3021127274</v>
      </c>
      <c r="G51" s="6" t="n">
        <v>2669.748</v>
      </c>
      <c r="H51" s="6" t="n">
        <v>2990.097</v>
      </c>
      <c r="I51" s="6" t="n">
        <v>941.8430000000001</v>
      </c>
      <c r="J51" s="6" t="n">
        <v>6601.688</v>
      </c>
      <c r="K51" s="6" t="n">
        <v>229703.6319786641</v>
      </c>
    </row>
    <row r="52">
      <c r="A52" s="19" t="inlineStr">
        <is>
          <t>nov-20</t>
        </is>
      </c>
      <c r="B52" s="20" t="n">
        <v>4498.934</v>
      </c>
      <c r="C52" s="20" t="n">
        <v>1.065</v>
      </c>
      <c r="D52" s="20" t="n">
        <v>0</v>
      </c>
      <c r="E52" s="20" t="n">
        <v>4499.999</v>
      </c>
      <c r="F52" s="20" t="n">
        <v>151780.2251296468</v>
      </c>
      <c r="G52" s="20" t="n">
        <v>3137.166</v>
      </c>
      <c r="H52" s="20" t="n">
        <v>3202.504</v>
      </c>
      <c r="I52" s="20" t="n">
        <v>1033.856</v>
      </c>
      <c r="J52" s="20" t="n">
        <v>7373.526</v>
      </c>
      <c r="K52" s="20" t="n">
        <v>248701.263329015</v>
      </c>
    </row>
    <row r="53">
      <c r="A53" s="18" t="inlineStr">
        <is>
          <t>dic-20</t>
        </is>
      </c>
      <c r="B53" s="6" t="n">
        <v>4837.197</v>
      </c>
      <c r="C53" s="6" t="n">
        <v>1.422</v>
      </c>
      <c r="D53" s="6" t="n">
        <v>0</v>
      </c>
      <c r="E53" s="6" t="n">
        <v>4838.619</v>
      </c>
      <c r="F53" s="6" t="n">
        <v>156916.1393380919</v>
      </c>
      <c r="G53" s="6" t="n">
        <v>3455.952</v>
      </c>
      <c r="H53" s="6" t="n">
        <v>3321.075</v>
      </c>
      <c r="I53" s="6" t="n">
        <v>1070.275</v>
      </c>
      <c r="J53" s="6" t="n">
        <v>7847.302</v>
      </c>
      <c r="K53" s="6" t="n">
        <v>254487.5581359242</v>
      </c>
    </row>
    <row r="54">
      <c r="A54" s="19" t="inlineStr">
        <is>
          <t>ene-21</t>
        </is>
      </c>
      <c r="B54" s="20" t="n">
        <v>4687.662</v>
      </c>
      <c r="C54" s="20" t="n">
        <v>2.294</v>
      </c>
      <c r="D54" s="20" t="n">
        <v>0</v>
      </c>
      <c r="E54" s="20" t="n">
        <v>4689.956</v>
      </c>
      <c r="F54" s="20" t="n">
        <v>146176.2858723166</v>
      </c>
      <c r="G54" s="20" t="n">
        <v>3479.31</v>
      </c>
      <c r="H54" s="20" t="n">
        <v>3641.965</v>
      </c>
      <c r="I54" s="20" t="n">
        <v>1111.827</v>
      </c>
      <c r="J54" s="20" t="n">
        <v>8233.101999999999</v>
      </c>
      <c r="K54" s="20" t="n">
        <v>256608.8619099926</v>
      </c>
    </row>
    <row r="55">
      <c r="A55" s="18" t="inlineStr">
        <is>
          <t>feb-21</t>
        </is>
      </c>
      <c r="B55" s="6" t="n">
        <v>4758.318</v>
      </c>
      <c r="C55" s="6" t="n">
        <v>2.9</v>
      </c>
      <c r="D55" s="6" t="n">
        <v>0</v>
      </c>
      <c r="E55" s="6" t="n">
        <v>4761.218</v>
      </c>
      <c r="F55" s="6" t="n">
        <v>143275.7939729028</v>
      </c>
      <c r="G55" s="6" t="n">
        <v>3614.332</v>
      </c>
      <c r="H55" s="6" t="n">
        <v>3899.727</v>
      </c>
      <c r="I55" s="6" t="n">
        <v>1155.081</v>
      </c>
      <c r="J55" s="6" t="n">
        <v>8669.139999999999</v>
      </c>
      <c r="K55" s="6" t="n">
        <v>260873.9857242938</v>
      </c>
    </row>
    <row r="56">
      <c r="A56" s="19" t="inlineStr">
        <is>
          <t>mar-21</t>
        </is>
      </c>
      <c r="B56" s="20" t="n">
        <v>4777.259</v>
      </c>
      <c r="C56" s="20" t="n">
        <v>3.778</v>
      </c>
      <c r="D56" s="20" t="n">
        <v>0</v>
      </c>
      <c r="E56" s="20" t="n">
        <v>4781.037</v>
      </c>
      <c r="F56" s="20" t="n">
        <v>137268.4705366346</v>
      </c>
      <c r="G56" s="20" t="n">
        <v>3897.993</v>
      </c>
      <c r="H56" s="20" t="n">
        <v>4370.178</v>
      </c>
      <c r="I56" s="20" t="n">
        <v>1239.837</v>
      </c>
      <c r="J56" s="20" t="n">
        <v>9508.008</v>
      </c>
      <c r="K56" s="20" t="n">
        <v>272984.6508215865</v>
      </c>
    </row>
    <row r="57">
      <c r="A57" s="18" t="inlineStr">
        <is>
          <t>abr-21</t>
        </is>
      </c>
      <c r="B57" s="6" t="n">
        <v>4752.708000000001</v>
      </c>
      <c r="C57" s="6" t="n">
        <v>5.052</v>
      </c>
      <c r="D57" s="6" t="n">
        <v>0</v>
      </c>
      <c r="E57" s="6" t="n">
        <v>4757.76</v>
      </c>
      <c r="F57" s="6" t="n">
        <v>131244.9834381417</v>
      </c>
      <c r="G57" s="6" t="n">
        <v>4177.875</v>
      </c>
      <c r="H57" s="6" t="n">
        <v>4504.954</v>
      </c>
      <c r="I57" s="6" t="n">
        <v>1294.327</v>
      </c>
      <c r="J57" s="6" t="n">
        <v>9977.155999999999</v>
      </c>
      <c r="K57" s="6" t="n">
        <v>275224.4068594791</v>
      </c>
    </row>
    <row r="58">
      <c r="A58" s="19" t="inlineStr">
        <is>
          <t>may-21</t>
        </is>
      </c>
      <c r="B58" s="20" t="n">
        <v>4975.175</v>
      </c>
      <c r="C58" s="20" t="n">
        <v>6.192</v>
      </c>
      <c r="D58" s="20" t="n">
        <v>0</v>
      </c>
      <c r="E58" s="20" t="n">
        <v>4981.367</v>
      </c>
      <c r="F58" s="20" t="n">
        <v>132993.9257094108</v>
      </c>
      <c r="G58" s="20" t="n">
        <v>4561.81</v>
      </c>
      <c r="H58" s="20" t="n">
        <v>4599.234</v>
      </c>
      <c r="I58" s="20" t="n">
        <v>1314.374</v>
      </c>
      <c r="J58" s="20" t="n">
        <v>10475.418</v>
      </c>
      <c r="K58" s="20" t="n">
        <v>279675.6318631061</v>
      </c>
    </row>
    <row r="59">
      <c r="A59" s="18" t="inlineStr">
        <is>
          <t>jun-21</t>
        </is>
      </c>
      <c r="B59" s="6" t="n">
        <v>5327.616</v>
      </c>
      <c r="C59" s="6" t="n">
        <v>9.551</v>
      </c>
      <c r="D59" s="6" t="n">
        <v>0</v>
      </c>
      <c r="E59" s="6" t="n">
        <v>5337.167</v>
      </c>
      <c r="F59" s="6" t="n">
        <v>138108.8419136853</v>
      </c>
      <c r="G59" s="6" t="n">
        <v>4907.035</v>
      </c>
      <c r="H59" s="6" t="n">
        <v>4698.119</v>
      </c>
      <c r="I59" s="6" t="n">
        <v>1361.863</v>
      </c>
      <c r="J59" s="6" t="n">
        <v>10967.017</v>
      </c>
      <c r="K59" s="6" t="n">
        <v>283791.3854143405</v>
      </c>
    </row>
    <row r="60">
      <c r="A60" s="19" t="inlineStr">
        <is>
          <t>jul-21</t>
        </is>
      </c>
      <c r="B60" s="20" t="n">
        <v>5248.886</v>
      </c>
      <c r="C60" s="20" t="n">
        <v>15.096</v>
      </c>
      <c r="D60" s="20" t="n">
        <v>0</v>
      </c>
      <c r="E60" s="20" t="n">
        <v>5263.982</v>
      </c>
      <c r="F60" s="20" t="n">
        <v>132251.4283945844</v>
      </c>
      <c r="G60" s="20" t="n">
        <v>5104.964</v>
      </c>
      <c r="H60" s="20" t="n">
        <v>4870.164</v>
      </c>
      <c r="I60" s="20" t="n">
        <v>1415.601</v>
      </c>
      <c r="J60" s="20" t="n">
        <v>11390.729</v>
      </c>
      <c r="K60" s="20" t="n">
        <v>286178.8244537342</v>
      </c>
    </row>
    <row r="61">
      <c r="A61" s="18" t="inlineStr">
        <is>
          <t>ago-21</t>
        </is>
      </c>
      <c r="B61" s="6" t="n">
        <v>5472.992</v>
      </c>
      <c r="C61" s="6" t="n">
        <v>22.584</v>
      </c>
      <c r="D61" s="6" t="n">
        <v>0</v>
      </c>
      <c r="E61" s="6" t="n">
        <v>5495.576</v>
      </c>
      <c r="F61" s="6" t="n">
        <v>134743.8250608271</v>
      </c>
      <c r="G61" s="6" t="n">
        <v>5738.057</v>
      </c>
      <c r="H61" s="6" t="n">
        <v>4819.057</v>
      </c>
      <c r="I61" s="6" t="n">
        <v>1469.915</v>
      </c>
      <c r="J61" s="6" t="n">
        <v>12027.029</v>
      </c>
      <c r="K61" s="6" t="n">
        <v>294885.9030568395</v>
      </c>
    </row>
    <row r="62">
      <c r="A62" s="19" t="inlineStr">
        <is>
          <t>sep-21</t>
        </is>
      </c>
      <c r="B62" s="20" t="n">
        <v>5511.862</v>
      </c>
      <c r="C62" s="20" t="n">
        <v>29.54</v>
      </c>
      <c r="D62" s="20" t="n">
        <v>0</v>
      </c>
      <c r="E62" s="20" t="n">
        <v>5541.402</v>
      </c>
      <c r="F62" s="20" t="n">
        <v>131213.5480695845</v>
      </c>
      <c r="G62" s="20" t="n">
        <v>5778.564</v>
      </c>
      <c r="H62" s="20" t="n">
        <v>5004.325</v>
      </c>
      <c r="I62" s="20" t="n">
        <v>1570.712</v>
      </c>
      <c r="J62" s="20" t="n">
        <v>12353.601</v>
      </c>
      <c r="K62" s="20" t="n">
        <v>292517.9979084656</v>
      </c>
    </row>
    <row r="63">
      <c r="A63" s="18" t="inlineStr">
        <is>
          <t>oct-21</t>
        </is>
      </c>
      <c r="B63" s="6" t="n">
        <v>5669.765</v>
      </c>
      <c r="C63" s="6" t="n">
        <v>31.968</v>
      </c>
      <c r="D63" s="6" t="n">
        <v>0</v>
      </c>
      <c r="E63" s="6" t="n">
        <v>5701.733</v>
      </c>
      <c r="F63" s="6" t="n">
        <v>130423.9242863046</v>
      </c>
      <c r="G63" s="6" t="n">
        <v>6108.648</v>
      </c>
      <c r="H63" s="6" t="n">
        <v>4950.068</v>
      </c>
      <c r="I63" s="6" t="n">
        <v>1628.347</v>
      </c>
      <c r="J63" s="6" t="n">
        <v>12687.063</v>
      </c>
      <c r="K63" s="6" t="n">
        <v>290209.4054785759</v>
      </c>
    </row>
    <row r="64">
      <c r="A64" s="19" t="inlineStr">
        <is>
          <t>nov-21</t>
        </is>
      </c>
      <c r="B64" s="20" t="n">
        <v>5926.785</v>
      </c>
      <c r="C64" s="20" t="n">
        <v>31.85</v>
      </c>
      <c r="D64" s="20" t="n">
        <v>0</v>
      </c>
      <c r="E64" s="20" t="n">
        <v>5958.635</v>
      </c>
      <c r="F64" s="20" t="n">
        <v>132937.7979972809</v>
      </c>
      <c r="G64" s="20" t="n">
        <v>6535.521</v>
      </c>
      <c r="H64" s="20" t="n">
        <v>5142.292</v>
      </c>
      <c r="I64" s="20" t="n">
        <v>1763.986</v>
      </c>
      <c r="J64" s="20" t="n">
        <v>13441.799</v>
      </c>
      <c r="K64" s="20" t="n">
        <v>299888.0045819306</v>
      </c>
    </row>
    <row r="65">
      <c r="A65" s="18" t="inlineStr">
        <is>
          <t>dic-21</t>
        </is>
      </c>
      <c r="B65" s="6" t="n">
        <v>6321.066</v>
      </c>
      <c r="C65" s="6" t="n">
        <v>37.818</v>
      </c>
      <c r="D65" s="6" t="n">
        <v>0</v>
      </c>
      <c r="E65" s="6" t="n">
        <v>6358.884</v>
      </c>
      <c r="F65" s="6" t="n">
        <v>136621.1840275165</v>
      </c>
      <c r="G65" s="6" t="n">
        <v>6857.583000000001</v>
      </c>
      <c r="H65" s="6" t="n">
        <v>5188.791</v>
      </c>
      <c r="I65" s="6" t="n">
        <v>1718.33</v>
      </c>
      <c r="J65" s="6" t="n">
        <v>13764.704</v>
      </c>
      <c r="K65" s="6" t="n">
        <v>295735.880426234</v>
      </c>
    </row>
    <row r="66">
      <c r="A66" s="19" t="inlineStr">
        <is>
          <t>ene-22</t>
        </is>
      </c>
      <c r="B66" s="20" t="n">
        <v>6256.951</v>
      </c>
      <c r="C66" s="20" t="n">
        <v>53.161</v>
      </c>
      <c r="D66" s="20" t="n">
        <v>0</v>
      </c>
      <c r="E66" s="20" t="n">
        <v>6310.112</v>
      </c>
      <c r="F66" s="20" t="n">
        <v>130514.9682783391</v>
      </c>
      <c r="G66" s="20" t="n">
        <v>6818.343</v>
      </c>
      <c r="H66" s="20" t="n">
        <v>5242.035</v>
      </c>
      <c r="I66" s="20" t="n">
        <v>1794.497</v>
      </c>
      <c r="J66" s="20" t="n">
        <v>13854.875</v>
      </c>
      <c r="K66" s="20" t="n">
        <v>286566.7948723182</v>
      </c>
    </row>
    <row r="67">
      <c r="A67" s="18" t="inlineStr">
        <is>
          <t>feb-22</t>
        </is>
      </c>
      <c r="B67" s="6" t="n">
        <v>6655.85</v>
      </c>
      <c r="C67" s="6" t="n">
        <v>66.46000000000001</v>
      </c>
      <c r="D67" s="6" t="n">
        <v>0</v>
      </c>
      <c r="E67" s="6" t="n">
        <v>6722.31</v>
      </c>
      <c r="F67" s="6" t="n">
        <v>132806.2399298491</v>
      </c>
      <c r="G67" s="6" t="n">
        <v>6559.45</v>
      </c>
      <c r="H67" s="6" t="n">
        <v>5390.186</v>
      </c>
      <c r="I67" s="6" t="n">
        <v>1853.479</v>
      </c>
      <c r="J67" s="6" t="n">
        <v>13803.115</v>
      </c>
      <c r="K67" s="6" t="n">
        <v>272694.9222022338</v>
      </c>
    </row>
    <row r="68">
      <c r="A68" s="19" t="inlineStr">
        <is>
          <t>mar-22</t>
        </is>
      </c>
      <c r="B68" s="20" t="n">
        <v>6944.652</v>
      </c>
      <c r="C68" s="20" t="n">
        <v>78.672</v>
      </c>
      <c r="D68" s="20" t="n">
        <v>0</v>
      </c>
      <c r="E68" s="20" t="n">
        <v>7023.324</v>
      </c>
      <c r="F68" s="20" t="n">
        <v>130005.2919433952</v>
      </c>
      <c r="G68" s="20" t="n">
        <v>6683.28</v>
      </c>
      <c r="H68" s="20" t="n">
        <v>5464.569</v>
      </c>
      <c r="I68" s="20" t="n">
        <v>1893.51</v>
      </c>
      <c r="J68" s="20" t="n">
        <v>14041.359</v>
      </c>
      <c r="K68" s="20" t="n">
        <v>259912.6818123471</v>
      </c>
    </row>
    <row r="69">
      <c r="A69" s="18" t="inlineStr">
        <is>
          <t>abr-22</t>
        </is>
      </c>
      <c r="B69" s="6" t="n">
        <v>7905.921</v>
      </c>
      <c r="C69" s="6" t="n">
        <v>107.994</v>
      </c>
      <c r="D69" s="6" t="n">
        <v>0</v>
      </c>
      <c r="E69" s="6" t="n">
        <v>8013.915</v>
      </c>
      <c r="F69" s="6" t="n">
        <v>139882.4933699213</v>
      </c>
      <c r="G69" s="6" t="n">
        <v>6596.537</v>
      </c>
      <c r="H69" s="6" t="n">
        <v>5201.576</v>
      </c>
      <c r="I69" s="6" t="n">
        <v>1960.91</v>
      </c>
      <c r="J69" s="6" t="n">
        <v>13759.023</v>
      </c>
      <c r="K69" s="6" t="n">
        <v>240163.0718037431</v>
      </c>
    </row>
    <row r="70">
      <c r="A70" s="19" t="inlineStr">
        <is>
          <t>may-22</t>
        </is>
      </c>
      <c r="B70" s="20" t="n">
        <v>8564.959000000001</v>
      </c>
      <c r="C70" s="20" t="n">
        <v>130.703</v>
      </c>
      <c r="D70" s="20" t="n">
        <v>0</v>
      </c>
      <c r="E70" s="20" t="n">
        <v>8695.662</v>
      </c>
      <c r="F70" s="20" t="n">
        <v>144485.506247558</v>
      </c>
      <c r="G70" s="20" t="n">
        <v>6974.205</v>
      </c>
      <c r="H70" s="20" t="n">
        <v>5172.57</v>
      </c>
      <c r="I70" s="20" t="n">
        <v>2005.116</v>
      </c>
      <c r="J70" s="20" t="n">
        <v>14151.891</v>
      </c>
      <c r="K70" s="20" t="n">
        <v>235145.1948678847</v>
      </c>
    </row>
    <row r="71">
      <c r="A71" s="18" t="inlineStr">
        <is>
          <t>jun-22</t>
        </is>
      </c>
      <c r="B71" s="6" t="n">
        <v>9123.752</v>
      </c>
      <c r="C71" s="6" t="n">
        <v>162.418</v>
      </c>
      <c r="D71" s="6" t="n">
        <v>0</v>
      </c>
      <c r="E71" s="6" t="n">
        <v>9286.17</v>
      </c>
      <c r="F71" s="6" t="n">
        <v>146537.7780380915</v>
      </c>
      <c r="G71" s="6" t="n">
        <v>6896.878</v>
      </c>
      <c r="H71" s="6" t="n">
        <v>5055.524</v>
      </c>
      <c r="I71" s="6" t="n">
        <v>1967.55</v>
      </c>
      <c r="J71" s="6" t="n">
        <v>13919.952</v>
      </c>
      <c r="K71" s="6" t="n">
        <v>219659.8636980464</v>
      </c>
    </row>
    <row r="72">
      <c r="A72" s="19" t="inlineStr">
        <is>
          <t>jul-22</t>
        </is>
      </c>
      <c r="B72" s="20" t="n">
        <v>9325.096</v>
      </c>
      <c r="C72" s="20" t="n">
        <v>186.907</v>
      </c>
      <c r="D72" s="20" t="n">
        <v>0</v>
      </c>
      <c r="E72" s="20" t="n">
        <v>9512.002999999999</v>
      </c>
      <c r="F72" s="20" t="n">
        <v>139751.2212370047</v>
      </c>
      <c r="G72" s="20" t="n">
        <v>7222.599</v>
      </c>
      <c r="H72" s="20" t="n">
        <v>4913.842000000001</v>
      </c>
      <c r="I72" s="20" t="n">
        <v>1882.496</v>
      </c>
      <c r="J72" s="20" t="n">
        <v>14018.937</v>
      </c>
      <c r="K72" s="20" t="n">
        <v>205967.5092821808</v>
      </c>
    </row>
    <row r="73">
      <c r="A73" s="18" t="inlineStr">
        <is>
          <t>ago-22</t>
        </is>
      </c>
      <c r="B73" s="6" t="n">
        <v>10434.236</v>
      </c>
      <c r="C73" s="6" t="n">
        <v>232.844</v>
      </c>
      <c r="D73" s="6" t="n">
        <v>0</v>
      </c>
      <c r="E73" s="6" t="n">
        <v>10667.08</v>
      </c>
      <c r="F73" s="6" t="n">
        <v>146509.5137910528</v>
      </c>
      <c r="G73" s="6" t="n">
        <v>7329.397</v>
      </c>
      <c r="H73" s="6" t="n">
        <v>4750.776</v>
      </c>
      <c r="I73" s="6" t="n">
        <v>1784.68</v>
      </c>
      <c r="J73" s="6" t="n">
        <v>13864.853</v>
      </c>
      <c r="K73" s="6" t="n">
        <v>190430.0775670961</v>
      </c>
    </row>
    <row r="74">
      <c r="A74" s="19" t="inlineStr">
        <is>
          <t>sep-22</t>
        </is>
      </c>
      <c r="B74" s="20" t="n">
        <v>11023.37</v>
      </c>
      <c r="C74" s="20" t="n">
        <v>269.831</v>
      </c>
      <c r="D74" s="20" t="n">
        <v>0</v>
      </c>
      <c r="E74" s="20" t="n">
        <v>11293.201</v>
      </c>
      <c r="F74" s="20" t="n">
        <v>146101.2198484854</v>
      </c>
      <c r="G74" s="20" t="n">
        <v>7392.557</v>
      </c>
      <c r="H74" s="20" t="n">
        <v>4601.519</v>
      </c>
      <c r="I74" s="20" t="n">
        <v>1687.737</v>
      </c>
      <c r="J74" s="20" t="n">
        <v>13681.813</v>
      </c>
      <c r="K74" s="20" t="n">
        <v>177002.9214072136</v>
      </c>
    </row>
    <row r="75">
      <c r="A75" s="18" t="inlineStr">
        <is>
          <t>oct-22</t>
        </is>
      </c>
      <c r="B75" s="6" t="n">
        <v>12042.892</v>
      </c>
      <c r="C75" s="6" t="n">
        <v>287.557</v>
      </c>
      <c r="D75" s="6" t="n">
        <v>0</v>
      </c>
      <c r="E75" s="6" t="n">
        <v>12330.449</v>
      </c>
      <c r="F75" s="6" t="n">
        <v>149999.2205914121</v>
      </c>
      <c r="G75" s="6" t="n">
        <v>3042.807</v>
      </c>
      <c r="H75" s="6" t="n">
        <v>3475.603</v>
      </c>
      <c r="I75" s="6" t="n">
        <v>1409.648</v>
      </c>
      <c r="J75" s="6" t="n">
        <v>7928.058</v>
      </c>
      <c r="K75" s="6" t="n">
        <v>96444.38096321632</v>
      </c>
    </row>
    <row r="76">
      <c r="A76" s="19" t="inlineStr">
        <is>
          <t>nov-22</t>
        </is>
      </c>
      <c r="B76" s="20" t="n">
        <v>13171.717</v>
      </c>
      <c r="C76" s="20" t="n">
        <v>305.035</v>
      </c>
      <c r="D76" s="20" t="n">
        <v>0</v>
      </c>
      <c r="E76" s="20" t="n">
        <v>13476.752</v>
      </c>
      <c r="F76" s="20" t="n">
        <v>156261.8689891699</v>
      </c>
      <c r="G76" s="20" t="n">
        <v>1271.545</v>
      </c>
      <c r="H76" s="20" t="n">
        <v>675.784</v>
      </c>
      <c r="I76" s="20" t="n">
        <v>610.948</v>
      </c>
      <c r="J76" s="20" t="n">
        <v>2558.277</v>
      </c>
      <c r="K76" s="20" t="n">
        <v>29663.01861249703</v>
      </c>
    </row>
    <row r="77">
      <c r="A77" s="18" t="inlineStr">
        <is>
          <t>dic-22</t>
        </is>
      </c>
      <c r="B77" s="6" t="n">
        <v>13950.366</v>
      </c>
      <c r="C77" s="6" t="n">
        <v>397.09</v>
      </c>
      <c r="D77" s="6" t="n">
        <v>0</v>
      </c>
      <c r="E77" s="6" t="n">
        <v>14347.456</v>
      </c>
      <c r="F77" s="6" t="n">
        <v>158248.0222815471</v>
      </c>
      <c r="G77" s="6" t="n"/>
      <c r="H77" s="6" t="n"/>
      <c r="I77" s="6" t="n"/>
      <c r="J77" s="6" t="n"/>
      <c r="K77" s="6" t="n"/>
    </row>
    <row r="78">
      <c r="A78" s="19" t="inlineStr">
        <is>
          <t>ene-23</t>
        </is>
      </c>
      <c r="B78" s="20" t="n">
        <v>14667.32</v>
      </c>
      <c r="C78" s="20" t="n">
        <v>471.772</v>
      </c>
      <c r="D78" s="20" t="n">
        <v>0</v>
      </c>
      <c r="E78" s="20" t="n">
        <v>15139.092</v>
      </c>
      <c r="F78" s="20" t="n">
        <v>157486.4401316013</v>
      </c>
      <c r="G78" s="20" t="n"/>
      <c r="H78" s="20" t="n"/>
      <c r="I78" s="20" t="n"/>
      <c r="J78" s="20" t="n"/>
      <c r="K78" s="20" t="n"/>
    </row>
    <row r="79">
      <c r="A79" s="18" t="inlineStr">
        <is>
          <t>feb-23</t>
        </is>
      </c>
      <c r="B79" s="6" t="n">
        <v>15867.895</v>
      </c>
      <c r="C79" s="6" t="n">
        <v>505.819</v>
      </c>
      <c r="D79" s="6" t="n">
        <v>0</v>
      </c>
      <c r="E79" s="6" t="n">
        <v>16373.714</v>
      </c>
      <c r="F79" s="6" t="n">
        <v>159742.4748542528</v>
      </c>
      <c r="G79" s="6" t="n"/>
      <c r="H79" s="6" t="n"/>
      <c r="I79" s="6" t="n"/>
      <c r="J79" s="6" t="n"/>
      <c r="K79" s="6" t="n"/>
    </row>
    <row r="80">
      <c r="A80" s="19" t="inlineStr">
        <is>
          <t>mar-23</t>
        </is>
      </c>
      <c r="B80" s="20" t="n">
        <v>16755.474</v>
      </c>
      <c r="C80" s="20" t="n">
        <v>580.7520000000001</v>
      </c>
      <c r="D80" s="20" t="n">
        <v>0</v>
      </c>
      <c r="E80" s="20" t="n">
        <v>17336.226</v>
      </c>
      <c r="F80" s="20" t="n">
        <v>157076.7548721403</v>
      </c>
      <c r="G80" s="20" t="n"/>
      <c r="H80" s="20" t="n"/>
      <c r="I80" s="20" t="n"/>
      <c r="J80" s="20" t="n"/>
      <c r="K80" s="20" t="n"/>
    </row>
    <row r="81">
      <c r="A81" s="18" t="inlineStr">
        <is>
          <t>abr-23</t>
        </is>
      </c>
      <c r="B81" s="6" t="n">
        <v>18257.264</v>
      </c>
      <c r="C81" s="6" t="n">
        <v>631.677</v>
      </c>
      <c r="D81" s="6" t="n">
        <v>0</v>
      </c>
      <c r="E81" s="6" t="n">
        <v>18888.941</v>
      </c>
      <c r="F81" s="6" t="n">
        <v>157879.1980377315</v>
      </c>
      <c r="G81" s="6" t="n"/>
      <c r="H81" s="6" t="n"/>
      <c r="I81" s="6" t="n"/>
      <c r="J81" s="6" t="n"/>
      <c r="K81" s="6" t="n"/>
    </row>
    <row r="82">
      <c r="A82" s="19" t="inlineStr">
        <is>
          <t>may-23</t>
        </is>
      </c>
      <c r="B82" s="20" t="n">
        <v>19784.835</v>
      </c>
      <c r="C82" s="20" t="n">
        <v>648.38</v>
      </c>
      <c r="D82" s="20" t="n">
        <v>0</v>
      </c>
      <c r="E82" s="20" t="n">
        <v>20433.215</v>
      </c>
      <c r="F82" s="20" t="n">
        <v>158469.2598946771</v>
      </c>
      <c r="G82" s="20" t="n"/>
      <c r="H82" s="20" t="n"/>
      <c r="I82" s="20" t="n"/>
      <c r="J82" s="20" t="n"/>
      <c r="K82" s="20" t="n"/>
    </row>
    <row r="83">
      <c r="A83" s="18" t="inlineStr">
        <is>
          <t>jun-23</t>
        </is>
      </c>
      <c r="B83" s="6" t="n">
        <v>20536.015</v>
      </c>
      <c r="C83" s="6" t="n">
        <v>649.436</v>
      </c>
      <c r="D83" s="6" t="n">
        <v>0</v>
      </c>
      <c r="E83" s="6" t="n">
        <v>21185.451</v>
      </c>
      <c r="F83" s="6" t="n">
        <v>155074.9562576122</v>
      </c>
      <c r="G83" s="6" t="n"/>
      <c r="H83" s="6" t="n"/>
      <c r="I83" s="6" t="n"/>
      <c r="J83" s="6" t="n"/>
      <c r="K83" s="6" t="n"/>
    </row>
    <row r="84">
      <c r="A84" s="19" t="inlineStr">
        <is>
          <t>jul-23</t>
        </is>
      </c>
      <c r="B84" s="20" t="n">
        <v>21463.235</v>
      </c>
      <c r="C84" s="20" t="n">
        <v>662.99</v>
      </c>
      <c r="D84" s="20" t="n">
        <v>5</v>
      </c>
      <c r="E84" s="20" t="n">
        <v>22131.225</v>
      </c>
      <c r="F84" s="20" t="n">
        <v>152332.6301233915</v>
      </c>
      <c r="G84" s="20" t="n"/>
      <c r="H84" s="20" t="n"/>
      <c r="I84" s="20" t="n"/>
      <c r="J84" s="20" t="n"/>
      <c r="K84" s="20" t="n"/>
    </row>
    <row r="85">
      <c r="A85" s="18" t="inlineStr">
        <is>
          <t>ago-23</t>
        </is>
      </c>
      <c r="B85" s="6" t="n">
        <v>22378.262</v>
      </c>
      <c r="C85" s="6" t="n">
        <v>724.051</v>
      </c>
      <c r="D85" s="6" t="n">
        <v>5</v>
      </c>
      <c r="E85" s="6" t="n">
        <v>23107.313</v>
      </c>
      <c r="F85" s="6" t="n">
        <v>141452.2212307964</v>
      </c>
      <c r="G85" s="6" t="n"/>
      <c r="H85" s="6" t="n"/>
      <c r="I85" s="6" t="n"/>
      <c r="J85" s="6" t="n"/>
      <c r="K85" s="6" t="n"/>
    </row>
    <row r="86">
      <c r="A86" s="19" t="inlineStr">
        <is>
          <t>sep-23</t>
        </is>
      </c>
      <c r="B86" s="20" t="n">
        <v>27766.439</v>
      </c>
      <c r="C86" s="20" t="n">
        <v>755.477</v>
      </c>
      <c r="D86" s="20" t="n">
        <v>5</v>
      </c>
      <c r="E86" s="20" t="n">
        <v>28526.916</v>
      </c>
      <c r="F86" s="20" t="n">
        <v>154881.5048594365</v>
      </c>
      <c r="G86" s="20" t="n"/>
      <c r="H86" s="20" t="n"/>
      <c r="I86" s="20" t="n"/>
      <c r="J86" s="20" t="n"/>
      <c r="K86" s="20" t="n"/>
    </row>
    <row r="87">
      <c r="A87" s="18" t="inlineStr">
        <is>
          <t>oct-23</t>
        </is>
      </c>
      <c r="B87" s="6" t="n">
        <v>32970.688</v>
      </c>
      <c r="C87" s="6" t="n">
        <v>912.903</v>
      </c>
      <c r="D87" s="6" t="n">
        <v>5</v>
      </c>
      <c r="E87" s="6" t="n">
        <v>33888.591</v>
      </c>
      <c r="F87" s="6" t="n">
        <v>169888.0443659499</v>
      </c>
      <c r="G87" s="6" t="n"/>
      <c r="H87" s="6" t="n"/>
      <c r="I87" s="6" t="n"/>
      <c r="J87" s="6" t="n"/>
      <c r="K87" s="6" t="n"/>
    </row>
    <row r="88">
      <c r="A88" s="19" t="inlineStr">
        <is>
          <t>nov-23</t>
        </is>
      </c>
      <c r="B88" s="20" t="n">
        <v>37945.678</v>
      </c>
      <c r="C88" s="20" t="n">
        <v>959.6080000000001</v>
      </c>
      <c r="D88" s="20" t="n">
        <v>5</v>
      </c>
      <c r="E88" s="20" t="n">
        <v>38910.286</v>
      </c>
      <c r="F88" s="20" t="n">
        <v>172911.338012465</v>
      </c>
      <c r="G88" s="20" t="n"/>
      <c r="H88" s="20" t="n"/>
      <c r="I88" s="20" t="n"/>
      <c r="J88" s="20" t="n"/>
      <c r="K88" s="20" t="n"/>
    </row>
    <row r="89">
      <c r="A89" s="18" t="inlineStr">
        <is>
          <t>dic-23</t>
        </is>
      </c>
      <c r="B89" s="6" t="n">
        <v>42869.58</v>
      </c>
      <c r="C89" s="6" t="n">
        <v>1011.584</v>
      </c>
      <c r="D89" s="6" t="n">
        <v>5</v>
      </c>
      <c r="E89" s="6" t="n">
        <v>43886.164</v>
      </c>
      <c r="F89" s="6" t="n">
        <v>155439.6260496475</v>
      </c>
      <c r="G89" s="6" t="n"/>
      <c r="H89" s="6" t="n"/>
      <c r="I89" s="6" t="n"/>
      <c r="J89" s="6" t="n"/>
      <c r="K89" s="6" t="n"/>
    </row>
    <row r="90">
      <c r="A90" s="19" t="inlineStr">
        <is>
          <t>ene-24</t>
        </is>
      </c>
      <c r="B90" s="20" t="n">
        <v>49526.844</v>
      </c>
      <c r="C90" s="20" t="n">
        <v>1075.296</v>
      </c>
      <c r="D90" s="20" t="n">
        <v>0</v>
      </c>
      <c r="E90" s="20" t="n">
        <v>50602.14000000001</v>
      </c>
      <c r="F90" s="20" t="n">
        <v>148596.224513132</v>
      </c>
      <c r="G90" s="20" t="n"/>
      <c r="H90" s="20" t="n"/>
      <c r="I90" s="20" t="n"/>
      <c r="J90" s="20" t="n"/>
      <c r="K90" s="20" t="n"/>
    </row>
    <row r="91">
      <c r="A91" s="18" t="inlineStr">
        <is>
          <t>feb-24</t>
        </is>
      </c>
      <c r="B91" s="6" t="n">
        <v>57550.535</v>
      </c>
      <c r="C91" s="6" t="n">
        <v>1218.905</v>
      </c>
      <c r="D91" s="6" t="n">
        <v>0</v>
      </c>
      <c r="E91" s="6" t="n">
        <v>58769.44</v>
      </c>
      <c r="F91" s="6" t="n">
        <v>152399.902223546</v>
      </c>
      <c r="G91" s="6" t="n"/>
      <c r="H91" s="6" t="n"/>
      <c r="I91" s="6" t="n"/>
      <c r="J91" s="6" t="n"/>
      <c r="K91" s="6" t="n"/>
    </row>
    <row r="92">
      <c r="A92" s="19" t="inlineStr">
        <is>
          <t>mar-24</t>
        </is>
      </c>
      <c r="B92" s="20" t="n">
        <v>63814.205</v>
      </c>
      <c r="C92" s="20" t="n">
        <v>1327.414</v>
      </c>
      <c r="D92" s="20" t="n">
        <v>0</v>
      </c>
      <c r="E92" s="20" t="n">
        <v>65141.619</v>
      </c>
      <c r="F92" s="20" t="n">
        <v>152170.6004990403</v>
      </c>
      <c r="G92" s="20" t="n"/>
      <c r="H92" s="20" t="n"/>
      <c r="I92" s="20" t="n"/>
      <c r="J92" s="20" t="n"/>
      <c r="K92" s="20" t="n"/>
    </row>
    <row r="93">
      <c r="A93" s="18" t="inlineStr">
        <is>
          <t>abr-24</t>
        </is>
      </c>
      <c r="B93" s="6" t="n">
        <v>72527.253</v>
      </c>
      <c r="C93" s="6" t="n">
        <v>1430.05</v>
      </c>
      <c r="D93" s="6" t="n">
        <v>0</v>
      </c>
      <c r="E93" s="6" t="n">
        <v>73957.303</v>
      </c>
      <c r="F93" s="6" t="n">
        <v>158743.8750890668</v>
      </c>
      <c r="G93" s="6" t="n"/>
      <c r="H93" s="6" t="n"/>
      <c r="I93" s="6" t="n"/>
      <c r="J93" s="6" t="n"/>
      <c r="K93" s="6" t="n"/>
    </row>
    <row r="94">
      <c r="A94" s="19" t="inlineStr">
        <is>
          <t>may-24</t>
        </is>
      </c>
      <c r="B94" s="20" t="n">
        <v>78284.592</v>
      </c>
      <c r="C94" s="20" t="n">
        <v>1612.137</v>
      </c>
      <c r="D94" s="20" t="n">
        <v>0</v>
      </c>
      <c r="E94" s="20" t="n">
        <v>79896.72900000001</v>
      </c>
      <c r="F94" s="20" t="n">
        <v>164617.4488277043</v>
      </c>
      <c r="G94" s="20" t="n"/>
      <c r="H94" s="20" t="n"/>
      <c r="I94" s="20" t="n"/>
      <c r="J94" s="20" t="n"/>
      <c r="K94" s="20" t="n"/>
    </row>
    <row r="95">
      <c r="A95" s="18" t="inlineStr">
        <is>
          <t>jun-24</t>
        </is>
      </c>
      <c r="B95" s="6" t="n">
        <v>81495.541</v>
      </c>
      <c r="C95" s="6" t="n">
        <v>1803.205</v>
      </c>
      <c r="D95" s="6" t="n">
        <v>0</v>
      </c>
      <c r="E95" s="6" t="n">
        <v>83298.746</v>
      </c>
      <c r="F95" s="6" t="n">
        <v>164115.2272972749</v>
      </c>
      <c r="G95" s="6" t="n"/>
      <c r="H95" s="6" t="n"/>
      <c r="I95" s="6" t="n"/>
      <c r="J95" s="6" t="n"/>
      <c r="K95" s="6" t="n"/>
    </row>
    <row r="96">
      <c r="A96" s="19" t="inlineStr">
        <is>
          <t>jul-24</t>
        </is>
      </c>
      <c r="B96" s="20" t="n">
        <v>93111.876</v>
      </c>
      <c r="C96" s="20" t="n">
        <v>2002.805</v>
      </c>
      <c r="D96" s="20" t="n">
        <v>0</v>
      </c>
      <c r="E96" s="20" t="n">
        <v>95114.681</v>
      </c>
      <c r="F96" s="20" t="n">
        <v>180133.9093653822</v>
      </c>
      <c r="G96" s="20" t="n"/>
      <c r="H96" s="20" t="n"/>
      <c r="I96" s="20" t="n"/>
      <c r="J96" s="20" t="n"/>
      <c r="K96" s="20" t="n"/>
    </row>
    <row r="97">
      <c r="A97" s="18" t="inlineStr">
        <is>
          <t>ago-24</t>
        </is>
      </c>
      <c r="B97" s="6" t="n">
        <v>104087.349</v>
      </c>
      <c r="C97" s="6" t="n">
        <v>2581.011</v>
      </c>
      <c r="D97" s="6" t="n">
        <v>0</v>
      </c>
      <c r="E97" s="6" t="n">
        <v>106668.36</v>
      </c>
      <c r="F97" s="6" t="n">
        <v>193923.9261067107</v>
      </c>
      <c r="G97" s="6" t="n"/>
      <c r="H97" s="6" t="n"/>
      <c r="I97" s="6" t="n"/>
      <c r="J97" s="6" t="n"/>
      <c r="K97" s="6" t="n"/>
    </row>
    <row r="98">
      <c r="A98" s="19" t="inlineStr">
        <is>
          <t>sep-24</t>
        </is>
      </c>
      <c r="B98" s="20" t="n">
        <v>118530.773</v>
      </c>
      <c r="C98" s="20" t="n">
        <v>3114.734</v>
      </c>
      <c r="D98" s="20" t="n">
        <v>0</v>
      </c>
      <c r="E98" s="20" t="n">
        <v>121645.507</v>
      </c>
      <c r="F98" s="20" t="n">
        <v>213737.4997039844</v>
      </c>
      <c r="G98" s="20" t="n"/>
      <c r="H98" s="20" t="n"/>
      <c r="I98" s="20" t="n"/>
      <c r="J98" s="20" t="n"/>
      <c r="K98" s="20" t="n"/>
    </row>
    <row r="99">
      <c r="A99" s="18" t="inlineStr">
        <is>
          <t>oct-24</t>
        </is>
      </c>
      <c r="B99" s="6" t="n">
        <v>133794.508</v>
      </c>
      <c r="C99" s="6" t="n">
        <v>3692.838</v>
      </c>
      <c r="D99" s="6" t="n">
        <v>0</v>
      </c>
      <c r="E99" s="6" t="n">
        <v>137487.346</v>
      </c>
      <c r="F99" s="6" t="n">
        <v>235240.382136352</v>
      </c>
      <c r="G99" s="6" t="n"/>
      <c r="H99" s="6" t="n"/>
      <c r="I99" s="6" t="n"/>
      <c r="J99" s="6" t="n"/>
      <c r="K99" s="6" t="n"/>
    </row>
    <row r="100">
      <c r="A100" s="19" t="inlineStr">
        <is>
          <t>nov-24</t>
        </is>
      </c>
      <c r="B100" s="20" t="n">
        <v>147065.953</v>
      </c>
      <c r="C100" s="20" t="n">
        <v>4696.489</v>
      </c>
      <c r="D100" s="20" t="n">
        <v>0</v>
      </c>
      <c r="E100" s="20" t="n">
        <v>151762.442</v>
      </c>
      <c r="F100" s="20" t="n">
        <v>253513.3786267139</v>
      </c>
      <c r="G100" s="20" t="n"/>
      <c r="H100" s="20" t="n"/>
      <c r="I100" s="20" t="n"/>
      <c r="J100" s="20" t="n"/>
      <c r="K100" s="20" t="n"/>
    </row>
    <row r="101">
      <c r="A101" s="18" t="inlineStr">
        <is>
          <t>dic-24</t>
        </is>
      </c>
      <c r="B101" s="6" t="n">
        <v>166589.977</v>
      </c>
      <c r="C101" s="6" t="n">
        <v>5768.244</v>
      </c>
      <c r="D101" s="6" t="n">
        <v>0</v>
      </c>
      <c r="E101" s="6" t="n">
        <v>172358.221</v>
      </c>
      <c r="F101" s="6" t="n">
        <v>280337.2324778377</v>
      </c>
      <c r="G101" s="6" t="n"/>
      <c r="H101" s="6" t="n"/>
      <c r="I101" s="6" t="n"/>
      <c r="J101" s="6" t="n"/>
      <c r="K101" s="6" t="n"/>
    </row>
    <row r="102">
      <c r="A102" s="19" t="inlineStr">
        <is>
          <t>ene-25</t>
        </is>
      </c>
      <c r="B102" s="20" t="n">
        <v>182790.351</v>
      </c>
      <c r="C102" s="20" t="n">
        <v>7920.407</v>
      </c>
      <c r="D102" s="20" t="n">
        <v>0</v>
      </c>
      <c r="E102" s="20" t="n">
        <v>190710.758</v>
      </c>
      <c r="F102" s="20" t="n">
        <v>303477.2428414142</v>
      </c>
      <c r="G102" s="20" t="n"/>
      <c r="H102" s="20" t="n"/>
      <c r="I102" s="20" t="n"/>
      <c r="J102" s="20" t="n"/>
      <c r="K102" s="20" t="n"/>
    </row>
    <row r="103">
      <c r="A103" s="18" t="inlineStr">
        <is>
          <t>feb-25</t>
        </is>
      </c>
      <c r="B103" s="6" t="n">
        <v>200154.867</v>
      </c>
      <c r="C103" s="6" t="n">
        <v>9973.378000000001</v>
      </c>
      <c r="D103" s="6" t="n">
        <v>0</v>
      </c>
      <c r="E103" s="6" t="n">
        <v>210128.245</v>
      </c>
      <c r="F103" s="6" t="n">
        <v>326534.0778552234</v>
      </c>
      <c r="G103" s="6" t="n"/>
      <c r="H103" s="6" t="n"/>
      <c r="I103" s="6" t="n"/>
      <c r="J103" s="6" t="n"/>
      <c r="K103" s="6" t="n"/>
    </row>
    <row r="104">
      <c r="A104" s="19" t="inlineStr">
        <is>
          <t>mar-25</t>
        </is>
      </c>
      <c r="B104" s="20" t="n">
        <v>220533.575</v>
      </c>
      <c r="C104" s="20" t="n">
        <v>12171.652</v>
      </c>
      <c r="D104" s="20" t="n">
        <v>0</v>
      </c>
      <c r="E104" s="20" t="n">
        <v>232705.227</v>
      </c>
      <c r="F104" s="20" t="n">
        <v>348617.0488880872</v>
      </c>
      <c r="G104" s="20" t="n"/>
      <c r="H104" s="20" t="n"/>
      <c r="I104" s="20" t="n"/>
      <c r="J104" s="20" t="n"/>
      <c r="K104" s="20" t="n"/>
    </row>
    <row r="105">
      <c r="A105" s="18" t="inlineStr">
        <is>
          <t>abr-25</t>
        </is>
      </c>
      <c r="B105" s="6" t="n">
        <v>237731.092</v>
      </c>
      <c r="C105" s="6" t="n">
        <v>14577.943</v>
      </c>
      <c r="D105" s="6" t="n">
        <v>0</v>
      </c>
      <c r="E105" s="6" t="n">
        <v>252309.035</v>
      </c>
      <c r="F105" s="6" t="n">
        <v>367758.8571181272</v>
      </c>
      <c r="G105" s="6" t="n"/>
      <c r="H105" s="6" t="n"/>
      <c r="I105" s="6" t="n"/>
      <c r="J105" s="6" t="n"/>
      <c r="K105" s="6" t="n"/>
    </row>
    <row r="106">
      <c r="A106" s="19" t="inlineStr">
        <is>
          <t>may-25</t>
        </is>
      </c>
      <c r="B106" s="20" t="n">
        <v>247276.78</v>
      </c>
      <c r="C106" s="20" t="n">
        <v>16293.038</v>
      </c>
      <c r="D106" s="20" t="n">
        <v>0</v>
      </c>
      <c r="E106" s="20" t="n">
        <v>263569.818</v>
      </c>
      <c r="F106" s="20" t="n">
        <v>378490.7144771095</v>
      </c>
      <c r="G106" s="20" t="n"/>
      <c r="H106" s="20" t="n"/>
      <c r="I106" s="20" t="n"/>
      <c r="J106" s="20" t="n"/>
      <c r="K106" s="20" t="n"/>
    </row>
    <row r="107">
      <c r="A107" s="18" t="inlineStr">
        <is>
          <t>jun-25</t>
        </is>
      </c>
      <c r="B107" s="6" t="n">
        <v>255978.1</v>
      </c>
      <c r="C107" s="6" t="n">
        <v>17555.458</v>
      </c>
      <c r="D107" s="6" t="n">
        <v>0</v>
      </c>
      <c r="E107" s="6" t="n">
        <v>273533.558</v>
      </c>
      <c r="F107" s="6" t="n">
        <v>386541.0050511097</v>
      </c>
      <c r="G107" s="6" t="n"/>
      <c r="H107" s="6" t="n"/>
      <c r="I107" s="6" t="n"/>
      <c r="J107" s="6" t="n"/>
      <c r="K107" s="6" t="n"/>
    </row>
    <row r="108">
      <c r="A108" s="19" t="inlineStr">
        <is>
          <t>jul-25</t>
        </is>
      </c>
      <c r="B108" s="20" t="n">
        <v>263955.132</v>
      </c>
      <c r="C108" s="20" t="n">
        <v>19197.635</v>
      </c>
      <c r="D108" s="20" t="n">
        <v>0</v>
      </c>
      <c r="E108" s="20" t="n">
        <v>283152.767</v>
      </c>
      <c r="F108" s="20" t="n">
        <v>392667.00218133</v>
      </c>
      <c r="G108" s="20" t="n"/>
      <c r="H108" s="20" t="n"/>
      <c r="I108" s="20" t="n"/>
      <c r="J108" s="20" t="n"/>
      <c r="K108" s="20" t="n"/>
    </row>
    <row r="109">
      <c r="A109" s="18" t="inlineStr">
        <is>
          <t>ago-25</t>
        </is>
      </c>
      <c r="B109" s="6" t="n">
        <v>275805.5</v>
      </c>
      <c r="C109" s="6" t="n">
        <v>20748.94</v>
      </c>
      <c r="D109" s="6" t="n">
        <v>0</v>
      </c>
      <c r="E109" s="6" t="n">
        <v>296554.44</v>
      </c>
      <c r="F109" s="6" t="n">
        <v>403679.804669774</v>
      </c>
      <c r="G109" s="6" t="n"/>
      <c r="H109" s="6" t="n"/>
      <c r="I109" s="6" t="n"/>
      <c r="J109" s="6" t="n"/>
      <c r="K109" s="6" t="n"/>
    </row>
    <row r="110">
      <c r="A110" s="19" t="inlineStr">
        <is>
          <t>sep-25</t>
        </is>
      </c>
      <c r="B110" s="20" t="n">
        <v>284409.126</v>
      </c>
      <c r="C110" s="20" t="n">
        <v>22095.062</v>
      </c>
      <c r="D110" s="20" t="n">
        <v>0</v>
      </c>
      <c r="E110" s="20" t="n">
        <v>306504.188</v>
      </c>
      <c r="F110" s="20" t="n">
        <v>408738.4850570362</v>
      </c>
      <c r="G110" s="20" t="n"/>
      <c r="H110" s="20" t="n"/>
      <c r="I110" s="20" t="n"/>
      <c r="J110" s="20" t="n"/>
      <c r="K110" s="20" t="n"/>
    </row>
    <row r="111">
      <c r="A111" s="18" t="inlineStr">
        <is>
          <t>oct-25</t>
        </is>
      </c>
      <c r="B111" s="6" t="n">
        <v>289171.622</v>
      </c>
      <c r="C111" s="6" t="n">
        <v>22850.399</v>
      </c>
      <c r="D111" s="6" t="n">
        <v>0</v>
      </c>
      <c r="E111" s="6" t="n">
        <v>312022.021</v>
      </c>
      <c r="F111" s="6" t="n">
        <v>406575.0321841627</v>
      </c>
      <c r="G111" s="6" t="n"/>
      <c r="H111" s="6" t="n"/>
      <c r="I111" s="6" t="n"/>
      <c r="J111" s="6" t="n"/>
      <c r="K111" s="6" t="n"/>
    </row>
    <row r="112">
      <c r="A112" s="19" t="inlineStr">
        <is>
          <t>nov-25</t>
        </is>
      </c>
      <c r="B112" s="20" t="n">
        <v>294931.23</v>
      </c>
      <c r="C112" s="20" t="n">
        <v>23050.853</v>
      </c>
      <c r="D112" s="20" t="n">
        <v>0</v>
      </c>
      <c r="E112" s="20" t="n">
        <v>317982.083</v>
      </c>
      <c r="F112" s="20" t="n">
        <v>404342.1342792228</v>
      </c>
      <c r="G112" s="20" t="n"/>
      <c r="H112" s="20" t="n"/>
      <c r="I112" s="20" t="n"/>
      <c r="J112" s="20" t="n"/>
      <c r="K112" s="20" t="n"/>
    </row>
    <row r="113">
      <c r="A113" s="18" t="inlineStr">
        <is>
          <t>dic-25</t>
        </is>
      </c>
      <c r="B113" s="6" t="n">
        <v>302252.32</v>
      </c>
      <c r="C113" s="6" t="n">
        <v>23210.275</v>
      </c>
      <c r="D113" s="6" t="n">
        <v>0</v>
      </c>
      <c r="E113" s="6" t="n">
        <v>325462.595</v>
      </c>
      <c r="F113" s="6" t="n">
        <v>402404.7525169219</v>
      </c>
      <c r="G113" s="6" t="n"/>
      <c r="H113" s="6" t="n"/>
      <c r="I113" s="6" t="n"/>
      <c r="J113" s="6" t="n"/>
      <c r="K113" s="6" t="n"/>
    </row>
    <row r="114">
      <c r="A114" s="19" t="inlineStr">
        <is>
          <t>ene-26</t>
        </is>
      </c>
      <c r="B114" s="20" t="n">
        <v>317503.087</v>
      </c>
      <c r="C114" s="20" t="n">
        <v>23390.042</v>
      </c>
      <c r="D114" s="20" t="n">
        <v>0</v>
      </c>
      <c r="E114" s="20" t="n">
        <v>340893.129</v>
      </c>
      <c r="F114" s="20" t="n">
        <v>409677.8415388985</v>
      </c>
      <c r="G114" s="20" t="n"/>
      <c r="H114" s="20" t="n"/>
      <c r="I114" s="20" t="n"/>
      <c r="J114" s="20" t="n"/>
      <c r="K114" s="20" t="n"/>
    </row>
    <row r="115">
      <c r="A115" s="18" t="inlineStr">
        <is>
          <t>feb-26</t>
        </is>
      </c>
      <c r="B115" s="6" t="n">
        <v>327141.683</v>
      </c>
      <c r="C115" s="6" t="n">
        <v>23544.385</v>
      </c>
      <c r="D115" s="6" t="n">
        <v>0</v>
      </c>
      <c r="E115" s="6" t="n">
        <v>350686.068</v>
      </c>
      <c r="F115" s="6" t="n">
        <v>409583.9223135755</v>
      </c>
      <c r="G115" s="6" t="n"/>
      <c r="H115" s="6" t="n"/>
      <c r="I115" s="6" t="n"/>
      <c r="J115" s="6" t="n"/>
      <c r="K115" s="6" t="n"/>
    </row>
    <row r="116">
      <c r="A116" s="19" t="inlineStr">
        <is>
          <t>mar-26</t>
        </is>
      </c>
      <c r="B116" s="20" t="n">
        <v>341152.913</v>
      </c>
      <c r="C116" s="20" t="n">
        <v>24099.627</v>
      </c>
      <c r="D116" s="20" t="n">
        <v>0</v>
      </c>
      <c r="E116" s="20" t="n">
        <v>365252.54</v>
      </c>
      <c r="F116" s="20" t="n">
        <v>412638.8261444798</v>
      </c>
      <c r="G116" s="20" t="n"/>
      <c r="H116" s="20" t="n"/>
      <c r="I116" s="20" t="n"/>
      <c r="J116" s="20" t="n"/>
      <c r="K116" s="20" t="n"/>
    </row>
    <row r="117">
      <c r="A117" s="18" t="inlineStr">
        <is>
          <t>abr-26</t>
        </is>
      </c>
      <c r="B117" s="6" t="n">
        <v>348248.661</v>
      </c>
      <c r="C117" s="6" t="n">
        <v>24976.926</v>
      </c>
      <c r="D117" s="6" t="n">
        <v>0</v>
      </c>
      <c r="E117" s="6" t="n">
        <v>373225.587</v>
      </c>
      <c r="F117" s="6" t="n">
        <v>411032.660457979</v>
      </c>
      <c r="G117" s="6" t="n"/>
      <c r="H117" s="6" t="n"/>
      <c r="I117" s="6" t="n"/>
      <c r="J117" s="6" t="n"/>
      <c r="K117" s="6" t="n"/>
    </row>
    <row r="118">
      <c r="A118" s="19" t="inlineStr">
        <is>
          <t>may-26</t>
        </is>
      </c>
      <c r="B118" s="20" t="n">
        <v>361770.828</v>
      </c>
      <c r="C118" s="20" t="n">
        <v>26540.236</v>
      </c>
      <c r="D118" s="20" t="n">
        <v>0</v>
      </c>
      <c r="E118" s="20" t="n">
        <v>388311.064</v>
      </c>
      <c r="F118" s="20" t="n">
        <v>418645.5062866051</v>
      </c>
      <c r="G118" s="20" t="n"/>
      <c r="H118" s="20" t="n"/>
      <c r="I118" s="20" t="n"/>
      <c r="J118" s="20" t="n"/>
      <c r="K118" s="20" t="n"/>
    </row>
    <row r="119">
      <c r="A119" s="18" t="inlineStr">
        <is>
          <t>jun-26</t>
        </is>
      </c>
      <c r="B119" s="6" t="n">
        <v>343704.407</v>
      </c>
      <c r="C119" s="6" t="n">
        <v>24729.153</v>
      </c>
      <c r="D119" s="6" t="n">
        <v>0</v>
      </c>
      <c r="E119" s="6" t="n">
        <v>368433.56</v>
      </c>
      <c r="F119" s="6" t="n">
        <v>389859.0538179491</v>
      </c>
      <c r="G119" s="6" t="n"/>
      <c r="H119" s="6" t="n"/>
      <c r="I119" s="6" t="n"/>
      <c r="J119" s="6" t="n"/>
      <c r="K119" s="6" t="n"/>
    </row>
    <row r="120">
      <c r="A120" s="19" t="inlineStr">
        <is>
          <t>jul-26</t>
        </is>
      </c>
      <c r="B120" s="20" t="n">
        <v>339727.743</v>
      </c>
      <c r="C120" s="20" t="n">
        <v>24792.161</v>
      </c>
      <c r="D120" s="20" t="n">
        <v>0</v>
      </c>
      <c r="E120" s="20" t="n">
        <v>364519.904</v>
      </c>
      <c r="F120" s="20" t="n">
        <v>377733.186070147</v>
      </c>
      <c r="G120" s="20" t="n"/>
      <c r="H120" s="20" t="n"/>
      <c r="I120" s="20" t="n"/>
      <c r="J120" s="20" t="n"/>
      <c r="K120" s="20" t="n"/>
    </row>
    <row r="122">
      <c r="A122" s="15" t="inlineStr">
        <is>
          <t>Fuente: EcoGo en base a BCRA, Información de Entidades Financieras (balhist y esd) (balhist, cuentas 13x7xx: préstamos al sector privado no financiero en pesos y moneda extranjera; tarjetas = 742, personales = 731/732/749). IUDÚ cedió su cartera a Banco Supervielle entre oct y dic de 2022. Pesos constantes: pesos constantes de sep-26 (IPC INDEC). último dato: jul-26.</t>
        </is>
      </c>
    </row>
    <row r="123">
      <c r="A123" s="16" t="inlineStr">
        <is>
          <t>www.ecogo.com.ar</t>
        </is>
      </c>
    </row>
  </sheetData>
  <mergeCells count="3">
    <mergeCell ref="A2:K2"/>
    <mergeCell ref="A122:K12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3C9794"/>
    <outlinePr summaryBelow="1" summaryRight="1"/>
    <pageSetUpPr/>
  </sheetPr>
  <dimension ref="A1:R6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8" max="8"/>
    <col width="12" customWidth="1" min="9" max="9"/>
  </cols>
  <sheetData>
    <row r="1">
      <c r="A1" s="1" t="inlineStr">
        <is>
          <t>Situación de la cartera según el balance de la entidad (IEF)</t>
        </is>
      </c>
    </row>
    <row r="2">
      <c r="A2" s="2" t="inlineStr">
        <is>
          <t>Total de financiaciones y garantías, % por situación · BSF e IUDÚ · último dato: jul-26</t>
        </is>
      </c>
    </row>
    <row r="4">
      <c r="A4" s="17" t="inlineStr">
        <is>
          <t>BSF (Carrefour Banco)</t>
        </is>
      </c>
    </row>
    <row r="5" ht="32" customHeight="1">
      <c r="A5" s="3" t="inlineStr">
        <is>
          <t>Mes</t>
        </is>
      </c>
      <c r="B5" s="3" t="inlineStr">
        <is>
          <t>Financiaciones
($ millones)</t>
        </is>
      </c>
      <c r="C5" s="3" t="inlineStr">
        <is>
          <t>Sit. 1</t>
        </is>
      </c>
      <c r="D5" s="3" t="inlineStr">
        <is>
          <t>Sit. 2</t>
        </is>
      </c>
      <c r="E5" s="3" t="inlineStr">
        <is>
          <t>Sit. 3</t>
        </is>
      </c>
      <c r="F5" s="3" t="inlineStr">
        <is>
          <t>Sit. 4</t>
        </is>
      </c>
      <c r="G5" s="3" t="inlineStr">
        <is>
          <t>Sit. 5</t>
        </is>
      </c>
      <c r="H5" s="3" t="inlineStr">
        <is>
          <t>Mora (3+4+5)</t>
        </is>
      </c>
      <c r="I5" s="3" t="inlineStr">
        <is>
          <t>Corte IEF de origen</t>
        </is>
      </c>
    </row>
    <row r="6">
      <c r="A6" s="18" t="inlineStr">
        <is>
          <t>dic-15</t>
        </is>
      </c>
      <c r="B6" s="6" t="n">
        <v>2560.25</v>
      </c>
      <c r="C6" s="7" t="n">
        <v>0.8874</v>
      </c>
      <c r="D6" s="7" t="n">
        <v>0.0235</v>
      </c>
      <c r="E6" s="7" t="n">
        <v>0.0237</v>
      </c>
      <c r="F6" s="7" t="n">
        <v>0.0368</v>
      </c>
      <c r="G6" s="7" t="n">
        <v>0.0284</v>
      </c>
      <c r="H6" s="22" t="n">
        <v>0.08890000000000001</v>
      </c>
      <c r="I6" s="18" t="inlineStr">
        <is>
          <t>201712</t>
        </is>
      </c>
    </row>
    <row r="7">
      <c r="A7" s="19" t="inlineStr">
        <is>
          <t>dic-16</t>
        </is>
      </c>
      <c r="B7" s="20" t="n">
        <v>3275.82</v>
      </c>
      <c r="C7" s="21" t="n">
        <v>0.8398</v>
      </c>
      <c r="D7" s="21" t="n">
        <v>0.0463</v>
      </c>
      <c r="E7" s="21" t="n">
        <v>0.0403</v>
      </c>
      <c r="F7" s="21" t="n">
        <v>0.0475</v>
      </c>
      <c r="G7" s="21" t="n">
        <v>0.026</v>
      </c>
      <c r="H7" s="23" t="n">
        <v>0.1138</v>
      </c>
      <c r="I7" s="19" t="inlineStr">
        <is>
          <t>201812</t>
        </is>
      </c>
    </row>
    <row r="8">
      <c r="A8" s="18" t="inlineStr">
        <is>
          <t>oct-17</t>
        </is>
      </c>
      <c r="B8" s="6" t="n">
        <v>3405.92</v>
      </c>
      <c r="C8" s="7" t="n">
        <v>0.7990999999999999</v>
      </c>
      <c r="D8" s="7" t="n">
        <v>0.04769999999999999</v>
      </c>
      <c r="E8" s="7" t="n">
        <v>0.0397</v>
      </c>
      <c r="F8" s="7" t="n">
        <v>0.0789</v>
      </c>
      <c r="G8" s="7" t="n">
        <v>0.0346</v>
      </c>
      <c r="H8" s="22" t="n">
        <v>0.1532</v>
      </c>
      <c r="I8" s="18" t="inlineStr">
        <is>
          <t>201712</t>
        </is>
      </c>
    </row>
    <row r="9">
      <c r="A9" s="19" t="inlineStr">
        <is>
          <t>nov-17</t>
        </is>
      </c>
      <c r="B9" s="20" t="n">
        <v>3465.239</v>
      </c>
      <c r="C9" s="21" t="n">
        <v>0.7772</v>
      </c>
      <c r="D9" s="21" t="n">
        <v>0.0516</v>
      </c>
      <c r="E9" s="21" t="n">
        <v>0.046</v>
      </c>
      <c r="F9" s="21" t="n">
        <v>0.07969999999999999</v>
      </c>
      <c r="G9" s="21" t="n">
        <v>0.0455</v>
      </c>
      <c r="H9" s="23" t="n">
        <v>0.1712</v>
      </c>
      <c r="I9" s="19" t="inlineStr">
        <is>
          <t>201712</t>
        </is>
      </c>
    </row>
    <row r="10">
      <c r="A10" s="18" t="inlineStr">
        <is>
          <t>dic-17</t>
        </is>
      </c>
      <c r="B10" s="6" t="n">
        <v>3625.18</v>
      </c>
      <c r="C10" s="7" t="n">
        <v>0.7827</v>
      </c>
      <c r="D10" s="7" t="n">
        <v>0.045</v>
      </c>
      <c r="E10" s="7" t="n">
        <v>0.0513</v>
      </c>
      <c r="F10" s="7" t="n">
        <v>0.07339999999999999</v>
      </c>
      <c r="G10" s="7" t="n">
        <v>0.0476</v>
      </c>
      <c r="H10" s="22" t="n">
        <v>0.1723</v>
      </c>
      <c r="I10" s="18" t="inlineStr">
        <is>
          <t>201912</t>
        </is>
      </c>
    </row>
    <row r="11">
      <c r="A11" s="19" t="inlineStr">
        <is>
          <t>oct-18</t>
        </is>
      </c>
      <c r="B11" s="20" t="n">
        <v>4816.59</v>
      </c>
      <c r="C11" s="21" t="n">
        <v>0.7681</v>
      </c>
      <c r="D11" s="21" t="n">
        <v>0.0633</v>
      </c>
      <c r="E11" s="21" t="n">
        <v>0.0394</v>
      </c>
      <c r="F11" s="21" t="n">
        <v>0.0742</v>
      </c>
      <c r="G11" s="21" t="n">
        <v>0.055</v>
      </c>
      <c r="H11" s="23" t="n">
        <v>0.1686</v>
      </c>
      <c r="I11" s="19" t="inlineStr">
        <is>
          <t>201812</t>
        </is>
      </c>
    </row>
    <row r="12">
      <c r="A12" s="18" t="inlineStr">
        <is>
          <t>nov-18</t>
        </is>
      </c>
      <c r="B12" s="6" t="n">
        <v>4892.14</v>
      </c>
      <c r="C12" s="7" t="n">
        <v>0.7559999999999999</v>
      </c>
      <c r="D12" s="7" t="n">
        <v>0.06950000000000001</v>
      </c>
      <c r="E12" s="7" t="n">
        <v>0.0469</v>
      </c>
      <c r="F12" s="7" t="n">
        <v>0.07339999999999999</v>
      </c>
      <c r="G12" s="7" t="n">
        <v>0.0542</v>
      </c>
      <c r="H12" s="22" t="n">
        <v>0.1745</v>
      </c>
      <c r="I12" s="18" t="inlineStr">
        <is>
          <t>201812</t>
        </is>
      </c>
    </row>
    <row r="13">
      <c r="A13" s="19" t="inlineStr">
        <is>
          <t>dic-18</t>
        </is>
      </c>
      <c r="B13" s="20" t="n">
        <v>5137.85</v>
      </c>
      <c r="C13" s="21" t="n">
        <v>0.7437</v>
      </c>
      <c r="D13" s="21" t="n">
        <v>0.0741</v>
      </c>
      <c r="E13" s="21" t="n">
        <v>0.0563</v>
      </c>
      <c r="F13" s="21" t="n">
        <v>0.0683</v>
      </c>
      <c r="G13" s="21" t="n">
        <v>0.0575</v>
      </c>
      <c r="H13" s="23" t="n">
        <v>0.1821</v>
      </c>
      <c r="I13" s="19" t="inlineStr">
        <is>
          <t>201912</t>
        </is>
      </c>
    </row>
    <row r="14">
      <c r="A14" s="18" t="inlineStr">
        <is>
          <t>oct-19</t>
        </is>
      </c>
      <c r="B14" s="6" t="n">
        <v>5521.09</v>
      </c>
      <c r="C14" s="7" t="n">
        <v>0.6415000000000001</v>
      </c>
      <c r="D14" s="7" t="n">
        <v>0.059</v>
      </c>
      <c r="E14" s="7" t="n">
        <v>0.0634</v>
      </c>
      <c r="F14" s="7" t="n">
        <v>0.1511</v>
      </c>
      <c r="G14" s="7" t="n">
        <v>0.0851</v>
      </c>
      <c r="H14" s="22" t="n">
        <v>0.2996</v>
      </c>
      <c r="I14" s="18" t="inlineStr">
        <is>
          <t>201912</t>
        </is>
      </c>
    </row>
    <row r="15">
      <c r="A15" s="19" t="inlineStr">
        <is>
          <t>nov-19</t>
        </is>
      </c>
      <c r="B15" s="20" t="n">
        <v>5437.66</v>
      </c>
      <c r="C15" s="21" t="n">
        <v>0.6323</v>
      </c>
      <c r="D15" s="21" t="n">
        <v>0.0554</v>
      </c>
      <c r="E15" s="21" t="n">
        <v>0.0636</v>
      </c>
      <c r="F15" s="21" t="n">
        <v>0.1482</v>
      </c>
      <c r="G15" s="21" t="n">
        <v>0.1005</v>
      </c>
      <c r="H15" s="23" t="n">
        <v>0.3123</v>
      </c>
      <c r="I15" s="19" t="inlineStr">
        <is>
          <t>201912</t>
        </is>
      </c>
    </row>
    <row r="16">
      <c r="A16" s="18" t="inlineStr">
        <is>
          <t>dic-19</t>
        </is>
      </c>
      <c r="B16" s="6" t="n">
        <v>5736.96</v>
      </c>
      <c r="C16" s="7" t="n">
        <v>0.6457999999999999</v>
      </c>
      <c r="D16" s="7" t="n">
        <v>0.0521</v>
      </c>
      <c r="E16" s="7" t="n">
        <v>0.0603</v>
      </c>
      <c r="F16" s="7" t="n">
        <v>0.1369</v>
      </c>
      <c r="G16" s="7" t="n">
        <v>0.1049</v>
      </c>
      <c r="H16" s="22" t="n">
        <v>0.3021</v>
      </c>
      <c r="I16" s="18" t="inlineStr">
        <is>
          <t>202112</t>
        </is>
      </c>
    </row>
    <row r="17">
      <c r="A17" s="19" t="inlineStr">
        <is>
          <t>dic-20</t>
        </is>
      </c>
      <c r="B17" s="20" t="n">
        <v>5111.72</v>
      </c>
      <c r="C17" s="21" t="n">
        <v>0.7901</v>
      </c>
      <c r="D17" s="21" t="n">
        <v>0.027</v>
      </c>
      <c r="E17" s="21" t="n">
        <v>0.0552</v>
      </c>
      <c r="F17" s="21" t="n">
        <v>0.03759999999999999</v>
      </c>
      <c r="G17" s="21" t="n">
        <v>0.09</v>
      </c>
      <c r="H17" s="23" t="n">
        <v>0.1828</v>
      </c>
      <c r="I17" s="19" t="inlineStr">
        <is>
          <t>202212</t>
        </is>
      </c>
    </row>
    <row r="18">
      <c r="A18" s="18" t="inlineStr">
        <is>
          <t>oct-21</t>
        </is>
      </c>
      <c r="B18" s="6" t="n">
        <v>6063.24</v>
      </c>
      <c r="C18" s="7" t="n">
        <v>0.8140000000000001</v>
      </c>
      <c r="D18" s="7" t="n">
        <v>0.0312</v>
      </c>
      <c r="E18" s="7" t="n">
        <v>0.0246</v>
      </c>
      <c r="F18" s="7" t="n">
        <v>0.06150000000000001</v>
      </c>
      <c r="G18" s="7" t="n">
        <v>0.0687</v>
      </c>
      <c r="H18" s="22" t="n">
        <v>0.1548</v>
      </c>
      <c r="I18" s="18" t="inlineStr">
        <is>
          <t>202112</t>
        </is>
      </c>
    </row>
    <row r="19">
      <c r="A19" s="19" t="inlineStr">
        <is>
          <t>nov-21</t>
        </is>
      </c>
      <c r="B19" s="20" t="n">
        <v>6346.45</v>
      </c>
      <c r="C19" s="21" t="n">
        <v>0.8273999999999999</v>
      </c>
      <c r="D19" s="21" t="n">
        <v>0.0325</v>
      </c>
      <c r="E19" s="21" t="n">
        <v>0.0251</v>
      </c>
      <c r="F19" s="21" t="n">
        <v>0.0559</v>
      </c>
      <c r="G19" s="21" t="n">
        <v>0.0591</v>
      </c>
      <c r="H19" s="23" t="n">
        <v>0.1401</v>
      </c>
      <c r="I19" s="19" t="inlineStr">
        <is>
          <t>202112</t>
        </is>
      </c>
    </row>
    <row r="20">
      <c r="A20" s="18" t="inlineStr">
        <is>
          <t>dic-21</t>
        </is>
      </c>
      <c r="B20" s="6" t="n">
        <v>6687.36</v>
      </c>
      <c r="C20" s="7" t="n">
        <v>0.8443000000000001</v>
      </c>
      <c r="D20" s="7" t="n">
        <v>0.0296</v>
      </c>
      <c r="E20" s="7" t="n">
        <v>0.0263</v>
      </c>
      <c r="F20" s="7" t="n">
        <v>0.0517</v>
      </c>
      <c r="G20" s="7" t="n">
        <v>0.0482</v>
      </c>
      <c r="H20" s="22" t="n">
        <v>0.1262</v>
      </c>
      <c r="I20" s="18" t="inlineStr">
        <is>
          <t>202312</t>
        </is>
      </c>
    </row>
    <row r="21">
      <c r="A21" s="19" t="inlineStr">
        <is>
          <t>oct-22</t>
        </is>
      </c>
      <c r="B21" s="20" t="n">
        <v>13151.91</v>
      </c>
      <c r="C21" s="21" t="n">
        <v>0.8851</v>
      </c>
      <c r="D21" s="21" t="n">
        <v>0.0396</v>
      </c>
      <c r="E21" s="21" t="n">
        <v>0.027</v>
      </c>
      <c r="F21" s="21" t="n">
        <v>0.031</v>
      </c>
      <c r="G21" s="21" t="n">
        <v>0.0173</v>
      </c>
      <c r="H21" s="23" t="n">
        <v>0.07530000000000001</v>
      </c>
      <c r="I21" s="19" t="inlineStr">
        <is>
          <t>202212</t>
        </is>
      </c>
    </row>
    <row r="22">
      <c r="A22" s="18" t="inlineStr">
        <is>
          <t>nov-22</t>
        </is>
      </c>
      <c r="B22" s="6" t="n">
        <v>14458.1</v>
      </c>
      <c r="C22" s="7" t="n">
        <v>0.8843000000000001</v>
      </c>
      <c r="D22" s="7" t="n">
        <v>0.0412</v>
      </c>
      <c r="E22" s="7" t="n">
        <v>0.0293</v>
      </c>
      <c r="F22" s="7" t="n">
        <v>0.0293</v>
      </c>
      <c r="G22" s="7" t="n">
        <v>0.0159</v>
      </c>
      <c r="H22" s="22" t="n">
        <v>0.0745</v>
      </c>
      <c r="I22" s="18" t="inlineStr">
        <is>
          <t>202212</t>
        </is>
      </c>
    </row>
    <row r="23">
      <c r="A23" s="19" t="inlineStr">
        <is>
          <t>dic-22</t>
        </is>
      </c>
      <c r="B23" s="20" t="n">
        <v>15453.5</v>
      </c>
      <c r="C23" s="21" t="n">
        <v>0.8778</v>
      </c>
      <c r="D23" s="21" t="n">
        <v>0.0434</v>
      </c>
      <c r="E23" s="21" t="n">
        <v>0.0314</v>
      </c>
      <c r="F23" s="21" t="n">
        <v>0.0279</v>
      </c>
      <c r="G23" s="21" t="n">
        <v>0.0195</v>
      </c>
      <c r="H23" s="23" t="n">
        <v>0.0788</v>
      </c>
      <c r="I23" s="19" t="inlineStr">
        <is>
          <t>202412</t>
        </is>
      </c>
    </row>
    <row r="24">
      <c r="A24" s="18" t="inlineStr">
        <is>
          <t>oct-23</t>
        </is>
      </c>
      <c r="B24" s="6" t="n">
        <v>37458.17</v>
      </c>
      <c r="C24" s="7" t="n">
        <v>0.87</v>
      </c>
      <c r="D24" s="7" t="n">
        <v>0.0325</v>
      </c>
      <c r="E24" s="7" t="n">
        <v>0.0285</v>
      </c>
      <c r="F24" s="7" t="n">
        <v>0.0505</v>
      </c>
      <c r="G24" s="7" t="n">
        <v>0.0184</v>
      </c>
      <c r="H24" s="22" t="n">
        <v>0.0974</v>
      </c>
      <c r="I24" s="18" t="inlineStr">
        <is>
          <t>202312</t>
        </is>
      </c>
    </row>
    <row r="25">
      <c r="A25" s="19" t="inlineStr">
        <is>
          <t>nov-23</t>
        </is>
      </c>
      <c r="B25" s="20" t="n">
        <v>42455.58</v>
      </c>
      <c r="C25" s="21" t="n">
        <v>0.8741</v>
      </c>
      <c r="D25" s="21" t="n">
        <v>0.0317</v>
      </c>
      <c r="E25" s="21" t="n">
        <v>0.0276</v>
      </c>
      <c r="F25" s="21" t="n">
        <v>0.0469</v>
      </c>
      <c r="G25" s="21" t="n">
        <v>0.0197</v>
      </c>
      <c r="H25" s="23" t="n">
        <v>0.09420000000000001</v>
      </c>
      <c r="I25" s="19" t="inlineStr">
        <is>
          <t>202312</t>
        </is>
      </c>
    </row>
    <row r="26">
      <c r="A26" s="18" t="inlineStr">
        <is>
          <t>dic-23</t>
        </is>
      </c>
      <c r="B26" s="6" t="n">
        <v>48205.58</v>
      </c>
      <c r="C26" s="7" t="n">
        <v>0.8756</v>
      </c>
      <c r="D26" s="7" t="n">
        <v>0.036</v>
      </c>
      <c r="E26" s="7" t="n">
        <v>0.0259</v>
      </c>
      <c r="F26" s="7" t="n">
        <v>0.04219999999999999</v>
      </c>
      <c r="G26" s="7" t="n">
        <v>0.0204</v>
      </c>
      <c r="H26" s="22" t="n">
        <v>0.0885</v>
      </c>
      <c r="I26" s="18" t="inlineStr">
        <is>
          <t>202512</t>
        </is>
      </c>
    </row>
    <row r="27">
      <c r="A27" s="19" t="inlineStr">
        <is>
          <t>oct-24</t>
        </is>
      </c>
      <c r="B27" s="20" t="n">
        <v>152825.5</v>
      </c>
      <c r="C27" s="21" t="n">
        <v>0.8281999999999999</v>
      </c>
      <c r="D27" s="21" t="n">
        <v>0.0471</v>
      </c>
      <c r="E27" s="21" t="n">
        <v>0.0359</v>
      </c>
      <c r="F27" s="21" t="n">
        <v>0.07480000000000001</v>
      </c>
      <c r="G27" s="21" t="n">
        <v>0.014</v>
      </c>
      <c r="H27" s="23" t="n">
        <v>0.1247</v>
      </c>
      <c r="I27" s="19" t="inlineStr">
        <is>
          <t>202412</t>
        </is>
      </c>
    </row>
    <row r="28">
      <c r="A28" s="18" t="inlineStr">
        <is>
          <t>nov-24</t>
        </is>
      </c>
      <c r="B28" s="6" t="n">
        <v>168869.78</v>
      </c>
      <c r="C28" s="7" t="n">
        <v>0.8244</v>
      </c>
      <c r="D28" s="7" t="n">
        <v>0.0512</v>
      </c>
      <c r="E28" s="7" t="n">
        <v>0.0357</v>
      </c>
      <c r="F28" s="7" t="n">
        <v>0.0736</v>
      </c>
      <c r="G28" s="7" t="n">
        <v>0.0151</v>
      </c>
      <c r="H28" s="22" t="n">
        <v>0.1244</v>
      </c>
      <c r="I28" s="18" t="inlineStr">
        <is>
          <t>202412</t>
        </is>
      </c>
    </row>
    <row r="29">
      <c r="A29" s="19" t="inlineStr">
        <is>
          <t>dic-24</t>
        </is>
      </c>
      <c r="B29" s="20" t="n">
        <v>190702.95</v>
      </c>
      <c r="C29" s="21" t="n">
        <v>0.8192</v>
      </c>
      <c r="D29" s="21" t="n">
        <v>0.0576</v>
      </c>
      <c r="E29" s="21" t="n">
        <v>0.0404</v>
      </c>
      <c r="F29" s="21" t="n">
        <v>0.066</v>
      </c>
      <c r="G29" s="21" t="n">
        <v>0.0168</v>
      </c>
      <c r="H29" s="23" t="n">
        <v>0.1232</v>
      </c>
      <c r="I29" s="19" t="inlineStr">
        <is>
          <t>202607</t>
        </is>
      </c>
    </row>
    <row r="30">
      <c r="A30" s="18" t="inlineStr">
        <is>
          <t>oct-25</t>
        </is>
      </c>
      <c r="B30" s="6" t="n">
        <v>376561.75</v>
      </c>
      <c r="C30" s="7" t="n">
        <v>0.5479999999999999</v>
      </c>
      <c r="D30" s="7" t="n">
        <v>0.1142</v>
      </c>
      <c r="E30" s="7" t="n">
        <v>0.141</v>
      </c>
      <c r="F30" s="7" t="n">
        <v>0.1575</v>
      </c>
      <c r="G30" s="7" t="n">
        <v>0.0393</v>
      </c>
      <c r="H30" s="22" t="n">
        <v>0.3378</v>
      </c>
      <c r="I30" s="18" t="inlineStr">
        <is>
          <t>202512</t>
        </is>
      </c>
    </row>
    <row r="31">
      <c r="A31" s="19" t="inlineStr">
        <is>
          <t>nov-25</t>
        </is>
      </c>
      <c r="B31" s="20" t="n">
        <v>386709.9</v>
      </c>
      <c r="C31" s="21" t="n">
        <v>0.5057</v>
      </c>
      <c r="D31" s="21" t="n">
        <v>0.124</v>
      </c>
      <c r="E31" s="21" t="n">
        <v>0.1362</v>
      </c>
      <c r="F31" s="21" t="n">
        <v>0.1891</v>
      </c>
      <c r="G31" s="21" t="n">
        <v>0.0451</v>
      </c>
      <c r="H31" s="23" t="n">
        <v>0.3704</v>
      </c>
      <c r="I31" s="19" t="inlineStr">
        <is>
          <t>202601</t>
        </is>
      </c>
    </row>
    <row r="32">
      <c r="A32" s="18" t="inlineStr">
        <is>
          <t>dic-25</t>
        </is>
      </c>
      <c r="B32" s="6" t="n">
        <v>396651.07</v>
      </c>
      <c r="C32" s="7" t="n">
        <v>0.4758</v>
      </c>
      <c r="D32" s="7" t="n">
        <v>0.1212</v>
      </c>
      <c r="E32" s="7" t="n">
        <v>0.1387</v>
      </c>
      <c r="F32" s="7" t="n">
        <v>0.2136</v>
      </c>
      <c r="G32" s="7" t="n">
        <v>0.0506</v>
      </c>
      <c r="H32" s="22" t="n">
        <v>0.4029</v>
      </c>
      <c r="I32" s="18" t="inlineStr">
        <is>
          <t>202607</t>
        </is>
      </c>
    </row>
    <row r="33">
      <c r="A33" s="19" t="inlineStr">
        <is>
          <t>ene-26</t>
        </is>
      </c>
      <c r="B33" s="20" t="n">
        <v>409949.74</v>
      </c>
      <c r="C33" s="21" t="n">
        <v>0.4551</v>
      </c>
      <c r="D33" s="21" t="n">
        <v>0.0911</v>
      </c>
      <c r="E33" s="21" t="n">
        <v>0.1599</v>
      </c>
      <c r="F33" s="21" t="n">
        <v>0.2272</v>
      </c>
      <c r="G33" s="21" t="n">
        <v>0.0668</v>
      </c>
      <c r="H33" s="23" t="n">
        <v>0.4539</v>
      </c>
      <c r="I33" s="19" t="inlineStr">
        <is>
          <t>202603</t>
        </is>
      </c>
    </row>
    <row r="34">
      <c r="A34" s="18" t="inlineStr">
        <is>
          <t>feb-26</t>
        </is>
      </c>
      <c r="B34" s="6" t="n">
        <v>419787.71</v>
      </c>
      <c r="C34" s="7" t="n">
        <v>0.4377</v>
      </c>
      <c r="D34" s="7" t="n">
        <v>0.076</v>
      </c>
      <c r="E34" s="7" t="n">
        <v>0.1553</v>
      </c>
      <c r="F34" s="7" t="n">
        <v>0.2376</v>
      </c>
      <c r="G34" s="7" t="n">
        <v>0.0934</v>
      </c>
      <c r="H34" s="22" t="n">
        <v>0.4863</v>
      </c>
      <c r="I34" s="18" t="inlineStr">
        <is>
          <t>202604</t>
        </is>
      </c>
    </row>
    <row r="35">
      <c r="A35" s="19" t="inlineStr">
        <is>
          <t>mar-26</t>
        </is>
      </c>
      <c r="B35" s="20" t="n">
        <v>433065.01</v>
      </c>
      <c r="C35" s="21" t="n">
        <v>0.4162</v>
      </c>
      <c r="D35" s="21" t="n">
        <v>0.08070000000000001</v>
      </c>
      <c r="E35" s="21" t="n">
        <v>0.1392</v>
      </c>
      <c r="F35" s="21" t="n">
        <v>0.2465</v>
      </c>
      <c r="G35" s="21" t="n">
        <v>0.1174</v>
      </c>
      <c r="H35" s="23" t="n">
        <v>0.5031</v>
      </c>
      <c r="I35" s="19" t="inlineStr">
        <is>
          <t>202605</t>
        </is>
      </c>
    </row>
    <row r="36">
      <c r="A36" s="18" t="inlineStr">
        <is>
          <t>abr-26</t>
        </is>
      </c>
      <c r="B36" s="6" t="n">
        <v>442313.75</v>
      </c>
      <c r="C36" s="7" t="n">
        <v>0.4211</v>
      </c>
      <c r="D36" s="7" t="n">
        <v>0.07440000000000001</v>
      </c>
      <c r="E36" s="7" t="n">
        <v>0.1104</v>
      </c>
      <c r="F36" s="7" t="n">
        <v>0.256</v>
      </c>
      <c r="G36" s="7" t="n">
        <v>0.1381</v>
      </c>
      <c r="H36" s="22" t="n">
        <v>0.5045000000000001</v>
      </c>
      <c r="I36" s="18" t="inlineStr">
        <is>
          <t>202606</t>
        </is>
      </c>
    </row>
    <row r="37">
      <c r="A37" s="19" t="inlineStr">
        <is>
          <t>may-26</t>
        </is>
      </c>
      <c r="B37" s="20" t="n">
        <v>453439.32</v>
      </c>
      <c r="C37" s="21" t="n">
        <v>0.4136</v>
      </c>
      <c r="D37" s="21" t="n">
        <v>0.0593</v>
      </c>
      <c r="E37" s="21" t="n">
        <v>0.1028</v>
      </c>
      <c r="F37" s="21" t="n">
        <v>0.2486</v>
      </c>
      <c r="G37" s="21" t="n">
        <v>0.1757</v>
      </c>
      <c r="H37" s="23" t="n">
        <v>0.5271</v>
      </c>
      <c r="I37" s="19" t="inlineStr">
        <is>
          <t>202607</t>
        </is>
      </c>
    </row>
    <row r="38">
      <c r="A38" s="18" t="inlineStr">
        <is>
          <t>jun-26</t>
        </is>
      </c>
      <c r="B38" s="6" t="n">
        <v>425975.98</v>
      </c>
      <c r="C38" s="7" t="n">
        <v>0.4411</v>
      </c>
      <c r="D38" s="7" t="n">
        <v>0.0596</v>
      </c>
      <c r="E38" s="7" t="n">
        <v>0.1033</v>
      </c>
      <c r="F38" s="7" t="n">
        <v>0.2558</v>
      </c>
      <c r="G38" s="7" t="n">
        <v>0.1401</v>
      </c>
      <c r="H38" s="22" t="n">
        <v>0.4991999999999999</v>
      </c>
      <c r="I38" s="18" t="inlineStr">
        <is>
          <t>202607</t>
        </is>
      </c>
    </row>
    <row r="39">
      <c r="A39" s="19" t="inlineStr">
        <is>
          <t>jul-26</t>
        </is>
      </c>
      <c r="B39" s="20" t="n">
        <v>419026.86</v>
      </c>
      <c r="C39" s="21" t="n">
        <v>0.4432</v>
      </c>
      <c r="D39" s="21" t="n">
        <v>0.0552</v>
      </c>
      <c r="E39" s="21" t="n">
        <v>0.0934</v>
      </c>
      <c r="F39" s="21" t="n">
        <v>0.2539</v>
      </c>
      <c r="G39" s="21" t="n">
        <v>0.1544</v>
      </c>
      <c r="H39" s="23" t="n">
        <v>0.5017</v>
      </c>
      <c r="I39" s="19" t="inlineStr">
        <is>
          <t>202607</t>
        </is>
      </c>
    </row>
    <row r="41">
      <c r="A41" s="17" t="inlineStr">
        <is>
          <t>IUDÚ Cía. Financiera</t>
        </is>
      </c>
    </row>
    <row r="42" ht="32" customHeight="1">
      <c r="A42" s="3" t="inlineStr">
        <is>
          <t>Mes</t>
        </is>
      </c>
      <c r="B42" s="3" t="inlineStr">
        <is>
          <t>Financiaciones
($ millones)</t>
        </is>
      </c>
      <c r="C42" s="3" t="inlineStr">
        <is>
          <t>Sit. 1</t>
        </is>
      </c>
      <c r="D42" s="3" t="inlineStr">
        <is>
          <t>Sit. 2</t>
        </is>
      </c>
      <c r="E42" s="3" t="inlineStr">
        <is>
          <t>Sit. 3</t>
        </is>
      </c>
      <c r="F42" s="3" t="inlineStr">
        <is>
          <t>Sit. 4</t>
        </is>
      </c>
      <c r="G42" s="3" t="inlineStr">
        <is>
          <t>Sit. 5</t>
        </is>
      </c>
      <c r="H42" s="3" t="inlineStr">
        <is>
          <t>Mora (3+4+5)</t>
        </is>
      </c>
      <c r="I42" s="3" t="inlineStr">
        <is>
          <t>Corte IEF de origen</t>
        </is>
      </c>
    </row>
    <row r="43">
      <c r="A43" s="18" t="inlineStr">
        <is>
          <t>dic-15</t>
        </is>
      </c>
      <c r="B43" s="6" t="n">
        <v>2362.832</v>
      </c>
      <c r="C43" s="7" t="n">
        <v>0.8382999999999999</v>
      </c>
      <c r="D43" s="7" t="n">
        <v>0.0803</v>
      </c>
      <c r="E43" s="7" t="n">
        <v>0.0426</v>
      </c>
      <c r="F43" s="7" t="n">
        <v>0.0387</v>
      </c>
      <c r="G43" s="7" t="n">
        <v>0</v>
      </c>
      <c r="H43" s="22" t="n">
        <v>0.08129999999999998</v>
      </c>
      <c r="I43" s="18" t="inlineStr">
        <is>
          <t>201712</t>
        </is>
      </c>
    </row>
    <row r="44">
      <c r="A44" s="19" t="inlineStr">
        <is>
          <t>dic-16</t>
        </is>
      </c>
      <c r="B44" s="20" t="n">
        <v>4439.21</v>
      </c>
      <c r="C44" s="21" t="n">
        <v>0.8112</v>
      </c>
      <c r="D44" s="21" t="n">
        <v>0.0898</v>
      </c>
      <c r="E44" s="21" t="n">
        <v>0.0527</v>
      </c>
      <c r="F44" s="21" t="n">
        <v>0.0463</v>
      </c>
      <c r="G44" s="21" t="n">
        <v>0</v>
      </c>
      <c r="H44" s="23" t="n">
        <v>0.09899999999999999</v>
      </c>
      <c r="I44" s="19" t="inlineStr">
        <is>
          <t>201812</t>
        </is>
      </c>
    </row>
    <row r="45">
      <c r="A45" s="18" t="inlineStr">
        <is>
          <t>oct-17</t>
        </is>
      </c>
      <c r="B45" s="6" t="n">
        <v>6805.361</v>
      </c>
      <c r="C45" s="7" t="n">
        <v>0.7648</v>
      </c>
      <c r="D45" s="7" t="n">
        <v>0.09810000000000001</v>
      </c>
      <c r="E45" s="7" t="n">
        <v>0.0679</v>
      </c>
      <c r="F45" s="7" t="n">
        <v>0.0692</v>
      </c>
      <c r="G45" s="7" t="n">
        <v>0</v>
      </c>
      <c r="H45" s="22" t="n">
        <v>0.1371</v>
      </c>
      <c r="I45" s="18" t="inlineStr">
        <is>
          <t>201712</t>
        </is>
      </c>
    </row>
    <row r="46">
      <c r="A46" s="19" t="inlineStr">
        <is>
          <t>nov-17</t>
        </is>
      </c>
      <c r="B46" s="20" t="n">
        <v>7070.83</v>
      </c>
      <c r="C46" s="21" t="n">
        <v>0.759</v>
      </c>
      <c r="D46" s="21" t="n">
        <v>0.1009</v>
      </c>
      <c r="E46" s="21" t="n">
        <v>0.0708</v>
      </c>
      <c r="F46" s="21" t="n">
        <v>0.0692</v>
      </c>
      <c r="G46" s="21" t="n">
        <v>0</v>
      </c>
      <c r="H46" s="23" t="n">
        <v>0.14</v>
      </c>
      <c r="I46" s="19" t="inlineStr">
        <is>
          <t>201712</t>
        </is>
      </c>
    </row>
    <row r="47">
      <c r="A47" s="18" t="inlineStr">
        <is>
          <t>dic-17</t>
        </is>
      </c>
      <c r="B47" s="6" t="n">
        <v>7279.31</v>
      </c>
      <c r="C47" s="7" t="n">
        <v>0.7529</v>
      </c>
      <c r="D47" s="7" t="n">
        <v>0.1001</v>
      </c>
      <c r="E47" s="7" t="n">
        <v>0.07490000000000001</v>
      </c>
      <c r="F47" s="7" t="n">
        <v>0.07200000000000001</v>
      </c>
      <c r="G47" s="7" t="n">
        <v>0</v>
      </c>
      <c r="H47" s="22" t="n">
        <v>0.1469</v>
      </c>
      <c r="I47" s="18" t="inlineStr">
        <is>
          <t>201912</t>
        </is>
      </c>
    </row>
    <row r="48">
      <c r="A48" s="19" t="inlineStr">
        <is>
          <t>oct-18</t>
        </is>
      </c>
      <c r="B48" s="20" t="n">
        <v>8648.809999999999</v>
      </c>
      <c r="C48" s="21" t="n">
        <v>0.7138</v>
      </c>
      <c r="D48" s="21" t="n">
        <v>0.105</v>
      </c>
      <c r="E48" s="21" t="n">
        <v>0.0771</v>
      </c>
      <c r="F48" s="21" t="n">
        <v>0.104</v>
      </c>
      <c r="G48" s="21" t="n">
        <v>0</v>
      </c>
      <c r="H48" s="23" t="n">
        <v>0.1811</v>
      </c>
      <c r="I48" s="19" t="inlineStr">
        <is>
          <t>201812</t>
        </is>
      </c>
    </row>
    <row r="49">
      <c r="A49" s="18" t="inlineStr">
        <is>
          <t>nov-18</t>
        </is>
      </c>
      <c r="B49" s="6" t="n">
        <v>8586.35</v>
      </c>
      <c r="C49" s="7" t="n">
        <v>0.7087</v>
      </c>
      <c r="D49" s="7" t="n">
        <v>0.1044</v>
      </c>
      <c r="E49" s="7" t="n">
        <v>0.08160000000000001</v>
      </c>
      <c r="F49" s="7" t="n">
        <v>0.1052</v>
      </c>
      <c r="G49" s="7" t="n">
        <v>0</v>
      </c>
      <c r="H49" s="22" t="n">
        <v>0.1868</v>
      </c>
      <c r="I49" s="18" t="inlineStr">
        <is>
          <t>201812</t>
        </is>
      </c>
    </row>
    <row r="50">
      <c r="A50" s="19" t="inlineStr">
        <is>
          <t>dic-18</t>
        </is>
      </c>
      <c r="B50" s="20" t="n">
        <v>8446.84</v>
      </c>
      <c r="C50" s="21" t="n">
        <v>0.6934</v>
      </c>
      <c r="D50" s="21" t="n">
        <v>0.1135</v>
      </c>
      <c r="E50" s="21" t="n">
        <v>0.0861</v>
      </c>
      <c r="F50" s="21" t="n">
        <v>0.1069</v>
      </c>
      <c r="G50" s="21" t="n">
        <v>0</v>
      </c>
      <c r="H50" s="23" t="n">
        <v>0.193</v>
      </c>
      <c r="I50" s="19" t="inlineStr">
        <is>
          <t>201912</t>
        </is>
      </c>
    </row>
    <row r="51">
      <c r="A51" s="18" t="inlineStr">
        <is>
          <t>oct-19</t>
        </is>
      </c>
      <c r="B51" s="6" t="n">
        <v>6822.81</v>
      </c>
      <c r="C51" s="7" t="n">
        <v>0.7322</v>
      </c>
      <c r="D51" s="7" t="n">
        <v>0.08070000000000001</v>
      </c>
      <c r="E51" s="7" t="n">
        <v>0.0635</v>
      </c>
      <c r="F51" s="7" t="n">
        <v>0.1184</v>
      </c>
      <c r="G51" s="7" t="n">
        <v>0.0051</v>
      </c>
      <c r="H51" s="22" t="n">
        <v>0.187</v>
      </c>
      <c r="I51" s="18" t="inlineStr">
        <is>
          <t>201912</t>
        </is>
      </c>
    </row>
    <row r="52">
      <c r="A52" s="19" t="inlineStr">
        <is>
          <t>nov-19</t>
        </is>
      </c>
      <c r="B52" s="20" t="n">
        <v>6697.07</v>
      </c>
      <c r="C52" s="21" t="n">
        <v>0.7412000000000001</v>
      </c>
      <c r="D52" s="21" t="n">
        <v>0.07780000000000001</v>
      </c>
      <c r="E52" s="21" t="n">
        <v>0.06370000000000001</v>
      </c>
      <c r="F52" s="21" t="n">
        <v>0.1119</v>
      </c>
      <c r="G52" s="21" t="n">
        <v>0.0053</v>
      </c>
      <c r="H52" s="23" t="n">
        <v>0.1809</v>
      </c>
      <c r="I52" s="19" t="inlineStr">
        <is>
          <t>201912</t>
        </is>
      </c>
    </row>
    <row r="53">
      <c r="A53" s="18" t="inlineStr">
        <is>
          <t>dic-19</t>
        </is>
      </c>
      <c r="B53" s="6" t="n">
        <v>6601.86</v>
      </c>
      <c r="C53" s="7" t="n">
        <v>0.7506</v>
      </c>
      <c r="D53" s="7" t="n">
        <v>0.0766</v>
      </c>
      <c r="E53" s="7" t="n">
        <v>0.0597</v>
      </c>
      <c r="F53" s="7" t="n">
        <v>0.1066</v>
      </c>
      <c r="G53" s="7" t="n">
        <v>0.0064</v>
      </c>
      <c r="H53" s="22" t="n">
        <v>0.1727</v>
      </c>
      <c r="I53" s="18" t="inlineStr">
        <is>
          <t>202112</t>
        </is>
      </c>
    </row>
    <row r="54">
      <c r="A54" s="19" t="inlineStr">
        <is>
          <t>dic-20</t>
        </is>
      </c>
      <c r="B54" s="20" t="n">
        <v>8401.110000000001</v>
      </c>
      <c r="C54" s="21" t="n">
        <v>0.9478</v>
      </c>
      <c r="D54" s="21" t="n">
        <v>0.005699999999999999</v>
      </c>
      <c r="E54" s="21" t="n">
        <v>0.0263</v>
      </c>
      <c r="F54" s="21" t="n">
        <v>0.0153</v>
      </c>
      <c r="G54" s="21" t="n">
        <v>0.0049</v>
      </c>
      <c r="H54" s="23" t="n">
        <v>0.04650000000000001</v>
      </c>
      <c r="I54" s="19" t="inlineStr">
        <is>
          <t>202212</t>
        </is>
      </c>
    </row>
    <row r="55">
      <c r="A55" s="18" t="inlineStr">
        <is>
          <t>oct-21</t>
        </is>
      </c>
      <c r="B55" s="6" t="n">
        <v>14424.93</v>
      </c>
      <c r="C55" s="7" t="n">
        <v>0.7334999999999999</v>
      </c>
      <c r="D55" s="7" t="n">
        <v>0.077</v>
      </c>
      <c r="E55" s="7" t="n">
        <v>0.07240000000000001</v>
      </c>
      <c r="F55" s="7" t="n">
        <v>0.1166</v>
      </c>
      <c r="G55" s="7" t="n">
        <v>0.0005</v>
      </c>
      <c r="H55" s="22" t="n">
        <v>0.1895</v>
      </c>
      <c r="I55" s="18" t="inlineStr">
        <is>
          <t>202112</t>
        </is>
      </c>
    </row>
    <row r="56">
      <c r="A56" s="19" t="inlineStr">
        <is>
          <t>nov-21</t>
        </is>
      </c>
      <c r="B56" s="20" t="n">
        <v>15211.7</v>
      </c>
      <c r="C56" s="21" t="n">
        <v>0.7267</v>
      </c>
      <c r="D56" s="21" t="n">
        <v>0.07780000000000001</v>
      </c>
      <c r="E56" s="21" t="n">
        <v>0.07099999999999999</v>
      </c>
      <c r="F56" s="21" t="n">
        <v>0.124</v>
      </c>
      <c r="G56" s="21" t="n">
        <v>0.0005999999999999999</v>
      </c>
      <c r="H56" s="23" t="n">
        <v>0.1956</v>
      </c>
      <c r="I56" s="19" t="inlineStr">
        <is>
          <t>202112</t>
        </is>
      </c>
    </row>
    <row r="57">
      <c r="A57" s="18" t="inlineStr">
        <is>
          <t>dic-21</t>
        </is>
      </c>
      <c r="B57" s="6" t="n">
        <v>15803.92</v>
      </c>
      <c r="C57" s="7" t="n">
        <v>0.7341</v>
      </c>
      <c r="D57" s="7" t="n">
        <v>0.0733</v>
      </c>
      <c r="E57" s="7" t="n">
        <v>0.06860000000000001</v>
      </c>
      <c r="F57" s="7" t="n">
        <v>0.1237</v>
      </c>
      <c r="G57" s="7" t="n">
        <v>0.0004</v>
      </c>
      <c r="H57" s="22" t="n">
        <v>0.1927</v>
      </c>
      <c r="I57" s="18" t="inlineStr">
        <is>
          <t>202312</t>
        </is>
      </c>
    </row>
    <row r="58">
      <c r="A58" s="19" t="inlineStr">
        <is>
          <t>oct-22</t>
        </is>
      </c>
      <c r="B58" s="20" t="n">
        <v>10722.49</v>
      </c>
      <c r="C58" s="21" t="n">
        <v>0.6886</v>
      </c>
      <c r="D58" s="21" t="n">
        <v>0.0862</v>
      </c>
      <c r="E58" s="21" t="n">
        <v>0.0732</v>
      </c>
      <c r="F58" s="21" t="n">
        <v>0.1435</v>
      </c>
      <c r="G58" s="21" t="n">
        <v>0.0086</v>
      </c>
      <c r="H58" s="23" t="n">
        <v>0.2253</v>
      </c>
      <c r="I58" s="19" t="inlineStr">
        <is>
          <t>202212</t>
        </is>
      </c>
    </row>
    <row r="59">
      <c r="A59" s="18" t="inlineStr">
        <is>
          <t>nov-22</t>
        </is>
      </c>
      <c r="B59" s="6" t="n">
        <v>4680.57</v>
      </c>
      <c r="C59" s="7" t="n">
        <v>0.6431</v>
      </c>
      <c r="D59" s="7" t="n">
        <v>0.06370000000000001</v>
      </c>
      <c r="E59" s="7" t="n">
        <v>0.0953</v>
      </c>
      <c r="F59" s="7" t="n">
        <v>0.1817</v>
      </c>
      <c r="G59" s="7" t="n">
        <v>0.0162</v>
      </c>
      <c r="H59" s="22" t="n">
        <v>0.2932</v>
      </c>
      <c r="I59" s="18" t="inlineStr">
        <is>
          <t>202212</t>
        </is>
      </c>
    </row>
    <row r="61" ht="45" customHeight="1">
      <c r="A61" s="24" t="inlineStr">
        <is>
          <t>Los cortes del IEF disponibles son los de diciembre (2016-2025) y los mensuales de 2026; cada uno trae el mes, los dos anteriores y los dos diciembres previos, por eso la serie no es mensual completa. Si un mes aparece en varios cortes se toma el más reciente. Dic-20: mora baja por la flexibilización transitoria de la clasificación de deudores durante la pandemia.</t>
        </is>
      </c>
    </row>
    <row r="63">
      <c r="A63" s="15" t="inlineStr">
        <is>
          <t>Fuente: EcoGo en base a BCRA, Información de Entidades Financieras (balhist y esd) (esd). último dato: jul-26.</t>
        </is>
      </c>
    </row>
    <row r="64">
      <c r="A64" s="16" t="inlineStr">
        <is>
          <t>www.ecogo.com.ar</t>
        </is>
      </c>
    </row>
  </sheetData>
  <mergeCells count="4">
    <mergeCell ref="A61:I61"/>
    <mergeCell ref="A2:R2"/>
    <mergeCell ref="A1:R1"/>
    <mergeCell ref="A63:I63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3C9794"/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3" customWidth="1" min="9" max="9"/>
  </cols>
  <sheetData>
    <row r="1">
      <c r="A1" s="1" t="inlineStr">
        <is>
          <t>Control: qué compone el saldo de la Central de Deudores</t>
        </is>
      </c>
    </row>
    <row r="2">
      <c r="A2" s="2" t="inlineStr">
        <is>
          <t>Préstamos, garantías otorgadas y otros conceptos (irrecuperables fuera de balance) · $ millones</t>
        </is>
      </c>
    </row>
    <row r="4" ht="32" customHeight="1">
      <c r="A4" s="3" t="inlineStr">
        <is>
          <t>Mes</t>
        </is>
      </c>
      <c r="B4" s="3" t="inlineStr">
        <is>
          <t>Entidad</t>
        </is>
      </c>
      <c r="C4" s="3" t="inlineStr">
        <is>
          <t>Préstamos</t>
        </is>
      </c>
      <c r="D4" s="3" t="inlineStr">
        <is>
          <t>Garantías otorgadas</t>
        </is>
      </c>
      <c r="E4" s="3" t="inlineStr">
        <is>
          <t>Otros conceptos</t>
        </is>
      </c>
      <c r="F4" s="3" t="inlineStr">
        <is>
          <t>Total</t>
        </is>
      </c>
      <c r="G4" s="3" t="inlineStr">
        <is>
          <t>Mora sobre total</t>
        </is>
      </c>
      <c r="H4" s="3" t="inlineStr">
        <is>
          <t>Mora solo préstamos</t>
        </is>
      </c>
      <c r="I4" s="3" t="inlineStr">
        <is>
          <t>Otros conceptos / total</t>
        </is>
      </c>
    </row>
    <row r="5">
      <c r="A5" s="4" t="inlineStr">
        <is>
          <t>jul-26</t>
        </is>
      </c>
      <c r="B5" s="4" t="inlineStr">
        <is>
          <t>BSF (Carrefour Banco)</t>
        </is>
      </c>
      <c r="C5" s="6" t="n">
        <v>418897.3129999996</v>
      </c>
      <c r="D5" s="6" t="n">
        <v>0</v>
      </c>
      <c r="E5" s="6" t="n">
        <v>43946.26700000003</v>
      </c>
      <c r="F5" s="6" t="n">
        <v>462843.5799999997</v>
      </c>
      <c r="G5" s="7" t="n">
        <v>0.5490533043582456</v>
      </c>
      <c r="H5" s="7" t="n">
        <v>0.5017588212603312</v>
      </c>
      <c r="I5" s="7" t="n">
        <v>0.09494842080341713</v>
      </c>
    </row>
    <row r="6">
      <c r="A6" s="4" t="inlineStr">
        <is>
          <t>jul-26</t>
        </is>
      </c>
      <c r="B6" s="4" t="inlineStr">
        <is>
          <t>Cencosud S.A. (Tarjeta Cencosud)</t>
        </is>
      </c>
      <c r="C6" s="6" t="n">
        <v>481242.3579999991</v>
      </c>
      <c r="D6" s="6" t="n">
        <v>0</v>
      </c>
      <c r="E6" s="6" t="n">
        <v>0</v>
      </c>
      <c r="F6" s="6" t="n">
        <v>481242.3579999991</v>
      </c>
      <c r="G6" s="7" t="n">
        <v>0.2972215197233331</v>
      </c>
      <c r="H6" s="7" t="n">
        <v>0.2972215197233331</v>
      </c>
      <c r="I6" s="7" t="n">
        <v>0</v>
      </c>
    </row>
    <row r="7">
      <c r="A7" s="4" t="inlineStr">
        <is>
          <t>jul-26</t>
        </is>
      </c>
      <c r="B7" s="4" t="inlineStr">
        <is>
          <t>Tarjetas del Mar S.A. (Tarjeta La Anónima)</t>
        </is>
      </c>
      <c r="C7" s="6" t="n">
        <v>167599.2000000005</v>
      </c>
      <c r="D7" s="6" t="n">
        <v>0</v>
      </c>
      <c r="E7" s="6" t="n">
        <v>0</v>
      </c>
      <c r="F7" s="6" t="n">
        <v>167599.2000000005</v>
      </c>
      <c r="G7" s="7" t="n">
        <v>0.3160240442675135</v>
      </c>
      <c r="H7" s="7" t="n">
        <v>0.3160240442675135</v>
      </c>
      <c r="I7" s="7" t="n">
        <v>0</v>
      </c>
    </row>
    <row r="8">
      <c r="A8" s="4" t="inlineStr">
        <is>
          <t>jul-26</t>
        </is>
      </c>
      <c r="B8" s="4" t="inlineStr">
        <is>
          <t>Coto CIC (Tarjeta TCI)</t>
        </is>
      </c>
      <c r="C8" s="6" t="n">
        <v>6434.946000000025</v>
      </c>
      <c r="D8" s="6" t="n">
        <v>0</v>
      </c>
      <c r="E8" s="6" t="n">
        <v>0</v>
      </c>
      <c r="F8" s="6" t="n">
        <v>6434.946000000025</v>
      </c>
      <c r="G8" s="7" t="n">
        <v>0.0821649474603203</v>
      </c>
      <c r="H8" s="7" t="n">
        <v>0.0821649474603203</v>
      </c>
      <c r="I8" s="7" t="n">
        <v>0</v>
      </c>
    </row>
    <row r="10">
      <c r="A10" s="4" t="inlineStr">
        <is>
          <t>ago-26</t>
        </is>
      </c>
      <c r="B10" s="4" t="inlineStr">
        <is>
          <t>BSF (Carrefour Banco)</t>
        </is>
      </c>
      <c r="C10" s="6" t="n">
        <v>424996.7459999986</v>
      </c>
      <c r="D10" s="6" t="n">
        <v>0</v>
      </c>
      <c r="E10" s="6" t="n">
        <v>42453.39400000001</v>
      </c>
      <c r="F10" s="6" t="n">
        <v>467450.1399999987</v>
      </c>
      <c r="G10" s="7" t="n">
        <v>0.5460845663668022</v>
      </c>
      <c r="H10" s="7" t="n">
        <v>0.5007424527433934</v>
      </c>
      <c r="I10" s="7" t="n">
        <v>0.0908190850044459</v>
      </c>
    </row>
    <row r="11">
      <c r="A11" s="4" t="inlineStr">
        <is>
          <t>ago-26</t>
        </is>
      </c>
      <c r="B11" s="4" t="inlineStr">
        <is>
          <t>Cencosud S.A. (Tarjeta Cencosud)</t>
        </is>
      </c>
      <c r="C11" s="6" t="n">
        <v>494276.4319999994</v>
      </c>
      <c r="D11" s="6" t="n">
        <v>0</v>
      </c>
      <c r="E11" s="6" t="n">
        <v>0</v>
      </c>
      <c r="F11" s="6" t="n">
        <v>494276.4319999994</v>
      </c>
      <c r="G11" s="7" t="n">
        <v>0.3012927349123541</v>
      </c>
      <c r="H11" s="7" t="n">
        <v>0.3012927349123541</v>
      </c>
      <c r="I11" s="7" t="n">
        <v>0</v>
      </c>
    </row>
    <row r="12">
      <c r="A12" s="4" t="inlineStr">
        <is>
          <t>ago-26</t>
        </is>
      </c>
      <c r="B12" s="4" t="inlineStr">
        <is>
          <t>Tarjetas del Mar S.A. (Tarjeta La Anónima)</t>
        </is>
      </c>
      <c r="C12" s="6" t="n">
        <v>170421.0549999999</v>
      </c>
      <c r="D12" s="6" t="n">
        <v>0</v>
      </c>
      <c r="E12" s="6" t="n">
        <v>0</v>
      </c>
      <c r="F12" s="6" t="n">
        <v>170421.0549999999</v>
      </c>
      <c r="G12" s="7" t="n">
        <v>0.3246337314365296</v>
      </c>
      <c r="H12" s="7" t="n">
        <v>0.3246337314365296</v>
      </c>
      <c r="I12" s="7" t="n">
        <v>0</v>
      </c>
    </row>
    <row r="13">
      <c r="A13" s="4" t="inlineStr">
        <is>
          <t>ago-26</t>
        </is>
      </c>
      <c r="B13" s="4" t="inlineStr">
        <is>
          <t>Coto CIC (Tarjeta TCI)</t>
        </is>
      </c>
      <c r="C13" s="6" t="n">
        <v>6483.937000000012</v>
      </c>
      <c r="D13" s="6" t="n">
        <v>0</v>
      </c>
      <c r="E13" s="6" t="n">
        <v>0</v>
      </c>
      <c r="F13" s="6" t="n">
        <v>6483.937000000012</v>
      </c>
      <c r="G13" s="7" t="n">
        <v>0.0857815244040772</v>
      </c>
      <c r="H13" s="7" t="n">
        <v>0.0857815244040772</v>
      </c>
      <c r="I13" s="7" t="n">
        <v>0</v>
      </c>
    </row>
    <row r="16">
      <c r="A16" s="15" t="inlineStr">
        <is>
          <t>Fuente: EcoGo en base a BCRA, Central de Deudores (deudores.txt, diseño de registro del LEAME).</t>
        </is>
      </c>
    </row>
    <row r="17">
      <c r="A17" s="16" t="inlineStr">
        <is>
          <t>www.ecogo.com.ar</t>
        </is>
      </c>
    </row>
  </sheetData>
  <mergeCells count="3">
    <mergeCell ref="A1:I1"/>
    <mergeCell ref="A2:I2"/>
    <mergeCell ref="A16:I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C9794"/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Metodología y fuentes</t>
        </is>
      </c>
    </row>
    <row r="2">
      <c r="A2" s="2" t="inlineStr">
        <is>
          <t>Central de Deudores último dato: ago-26 · IEF último dato: jul-26</t>
        </is>
      </c>
    </row>
    <row r="4" ht="75" customHeight="1">
      <c r="A4" s="13" t="inlineStr">
        <is>
          <t>Universo</t>
        </is>
      </c>
      <c r="B4" s="14" t="inlineStr">
        <is>
          <t>Entidades que emiten la tarjeta o dan el crédito de cada cadena: Banco de Servicios Financieros (Carrefour Banco, código BCRA 332), Cencosud S.A. (70147; Jumbo, Disco, Vea, Easy, Blaisten), Tarjetas del Mar S.A. (70224; emisora de la Tarjeta La Anónima), Coto CIC (70140; Tarjeta TCI) e IUDÚ Compañía Financiera (44090; ChangoMás, hasta 2022).</t>
        </is>
      </c>
    </row>
    <row r="5" ht="75" customHeight="1">
      <c r="A5" s="13" t="inlineStr">
        <is>
          <t>Saldo (Central de Deudores)</t>
        </is>
      </c>
      <c r="B5" s="14" t="inlineStr">
        <is>
          <t>Suma del campo monto de la Base_Unificada_24DSF por entidad y mes (oct-22 a ago-26). Incluye préstamos, garantías otorgadas y "otros conceptos" (irrecuperables en partidas fuera de balance). Es la única fuente común a bancos y emisores no bancarios; la Central por entidad empieza en oct-22.</t>
        </is>
      </c>
    </row>
    <row r="6" ht="75" customHeight="1">
      <c r="A6" s="13" t="inlineStr">
        <is>
          <t>Mora</t>
        </is>
      </c>
      <c r="B6" s="14" t="inlineStr">
        <is>
          <t>Saldo en situación 3, 4 y 5 sobre el saldo total, a nivel relación deudor-entidad. La situación 11 no se cuenta como irregular. La situación 2 se informa aparte como señal adelantada. Como el saldo incluye irrecuperables fuera de balance, la mora sobre el total puede superar a la de balance: la hoja "Control componentes" la recalcula solo con préstamos para los meses con deudores.txt extraído.</t>
        </is>
      </c>
    </row>
    <row r="7" ht="75" customHeight="1">
      <c r="A7" s="13" t="inlineStr">
        <is>
          <t>Serie larga IEF</t>
        </is>
      </c>
      <c r="B7" s="14" t="inlineStr">
        <is>
          <t>Para BSF e IUDÚ, préstamos al sector privado no financiero del balance (balhist.txt, cuentas 13[1|5|6]7xx, pesos y moneda extranjera) desde dic-16. La mora de balance sale del archivo esd ("Estado de situación de deudores") de cada corte del IEF disponible. Los cortes viejos informan el total en miles de pesos: se pasa a millones.</t>
        </is>
      </c>
    </row>
    <row r="8" ht="75" customHeight="1">
      <c r="A8" s="13" t="inlineStr">
        <is>
          <t>Pesos constantes</t>
        </is>
      </c>
      <c r="B8" s="14" t="inlineStr">
        <is>
          <t>Deflactados por el IPC nacional de INDEC (nivel general), a pesos de sep-26. Variaciones reales = cociente de saldos en pesos constantes.</t>
        </is>
      </c>
    </row>
    <row r="9" ht="75" customHeight="1">
      <c r="A9" s="13" t="inlineStr">
        <is>
          <t>Último mes</t>
        </is>
      </c>
      <c r="B9" s="14" t="inlineStr">
        <is>
          <t>Central de Deudores: ago-26. IEF: jul-26 (último corte publicado; de ahí salen la serie larga y la mora de balance de BSF). La Central de ago-26 todavía llega con menos entidades que la del mes anterior, pero las de este cuadro informan completas: el proceso exige que cada una tenga al menos el 90% de los deudores del mes previo.</t>
        </is>
      </c>
    </row>
    <row r="10" ht="75" customHeight="1">
      <c r="A10" s="13" t="inlineStr">
        <is>
          <t>ChangoMás después de 2022</t>
        </is>
      </c>
      <c r="B10" s="14" t="inlineStr">
        <is>
          <t>IUDÚ cedió su cartera sin recurso a Banco Supervielle entre oct y dic de 2022 y luego fue absorbida (baja en el IEF). Desde entonces el crédito de ChangoMás forma parte del balance de Supervielle y no se puede aislar con datos del BCRA.</t>
        </is>
      </c>
    </row>
    <row r="11" ht="75" customHeight="1">
      <c r="A11" s="13" t="inlineStr">
        <is>
          <t>Supuestos no verificados</t>
        </is>
      </c>
      <c r="B11" s="14" t="inlineStr">
        <is>
          <t>Tarjetas del Mar S.A.: se atribuye a La Anónima todo el saldo de la entidad. Cencosud y Coto: se toma el saldo total de la entidad como financiación de la cadena (emisores de producto único).</t>
        </is>
      </c>
    </row>
    <row r="12" ht="90" customHeight="1">
      <c r="A12" s="13" t="inlineStr">
        <is>
          <t>Universo electro</t>
        </is>
      </c>
      <c r="B12" s="14" t="inlineStr">
        <is>
          <t>Proveedores no financieros de crédito de las cadenas de electrodomésticos: Electrónica Megatone S.R.L. (55027), Naldo Lombardi S.A. (55041), Cetrogar S.A. (55011), Frávega S.A.C.I. e I. (55030), Favanet S.A. (55028) y Carsa S.A. (55009). Las cinco últimas, salvo Naldo, figuran como "Retail y electrodomésticos" en la taxonomía del ranking de crédito; Naldo Lombardi figura como "Otros proveedores no financieros" y se incorpora por ser la razón social de la cadena Naldo. Coto CIC, que la taxonomía también clasifica como retail, se mantiene en supermercados.</t>
        </is>
      </c>
    </row>
    <row r="13" ht="90" customHeight="1">
      <c r="A13" s="13" t="inlineStr">
        <is>
          <t>Saldo y mora electro</t>
        </is>
      </c>
      <c r="B13" s="14" t="inlineStr">
        <is>
          <t>Misma definición que supermercados: suma del monto de la Central de Deudores por entidad (préstamos + garantías + otros conceptos) y mora = saldo en situación 3, 4 y 5 sobre el total. Fuente operativa: PNFC.xlsx (Carteras e Irregularidad, Base_Unificada_24DSF), en miles de millones, pasada a millones. Se verificó que coincide con la tabla de hechos mensual (p. ej. Megatone jul-26: $353.136 millones y 59,55% de mora en ambas fuentes) y que reproduce la serie de supermercados de este archivo.</t>
        </is>
      </c>
    </row>
    <row r="14" ht="90" customHeight="1">
      <c r="A14" s="13" t="inlineStr">
        <is>
          <t>Mora temprana electro</t>
        </is>
      </c>
      <c r="B14" s="14" t="inlineStr">
        <is>
          <t>Situación 2 sobre saldo, desde la tabla de hechos mensual (entidad x situación). Disponible para 22 de 47 meses; sin dato en oct-22, nov-22, dic-22, ene-23, feb-23, mar-23, abr-23, may-23, jun-23, jul-23, ago-23, mar-24, abr-24, may-24, jun-24, jul-24, ago-24, sep-24, oct-24, nov-24, dic-24, ene-25, feb-25, abr-25, ago-26: esos archivos no pudieron descargarse en esta actualización. Para completarla basta agregar las seis entidades a ENTIDADES en config.py y correr 02_cendeu.py, que ya calcula la situación 2 por entidad. Los 22 archivos usados reproducen la mora y la situación 2 de supermercados de este Excel (diferencia máxima 0,0014 pp).</t>
        </is>
      </c>
    </row>
    <row r="15" ht="90" customHeight="1">
      <c r="A15" s="13" t="inlineStr">
        <is>
          <t>Conjunto super + electro</t>
        </is>
      </c>
      <c r="B15" s="14" t="inlineStr">
        <is>
          <t>Suma de saldos de ambos segmentos; las tasas del conjunto (mora y mora temprana) se ponderan por saldo. Pesos constantes de sep-26 con el mismo deflactor que "Crédito mensual" (IPC INDEC).</t>
        </is>
      </c>
    </row>
    <row r="16" ht="90" customHeight="1">
      <c r="A16" s="13" t="inlineStr">
        <is>
          <t>Comparabilidad</t>
        </is>
      </c>
      <c r="B16" s="14" t="inlineStr">
        <is>
          <t>Los proveedores no financieros no aplican las normas de previsionamiento y baja de cartera de las entidades financieras: la cartera irrecuperable tiende a quedar informada en la Central y eleva la mora sobre el total. Supuestos no verificados: Carsa S.A. se atribuye a Musimundo; Favanet S.A. se toma según la clasificación de la taxonomía. Datos de la Central marcados como provisorios en la fuente.</t>
        </is>
      </c>
    </row>
    <row r="18">
      <c r="A18" s="36" t="inlineStr">
        <is>
          <t>Fuente: EcoGo en base a BCRA, Central de Deudores del Sistema Financiero (24DSF); BCRA, Información de Entidades Financieras (balhist y esd); INDEC (IPC).</t>
        </is>
      </c>
    </row>
    <row r="19">
      <c r="A19" s="37" t="inlineStr">
        <is>
          <t>www.ecogo.com.ar</t>
        </is>
      </c>
    </row>
  </sheetData>
  <mergeCells count="3">
    <mergeCell ref="A18:B18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2026-10-13T20:34:17Z</dcterms:created>
  <dcterms:modified xmlns:dcterms="http://purl.org/dc/terms/" xmlns:xsi="http://www.w3.org/2001/XMLSchema-instance" xsi:type="dcterms:W3CDTF">2026-10-15T10:44:03Z</dcterms:modified>
</cp:coreProperties>
</file>